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nhc\Downloads\"/>
    </mc:Choice>
  </mc:AlternateContent>
  <xr:revisionPtr revIDLastSave="0" documentId="13_ncr:1_{6D7C4914-5D28-4EA8-A911-4B097F1E90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 &amp; Summary" sheetId="1" r:id="rId1"/>
    <sheet name="API Test Checklist" sheetId="2" r:id="rId2"/>
    <sheet name="Cybersecurity Test Matrix" sheetId="3" r:id="rId3"/>
    <sheet name="Postman &amp; Payload Sampl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F6" i="1"/>
  <c r="D6" i="1"/>
  <c r="H6" i="1"/>
  <c r="J6" i="1" l="1"/>
</calcChain>
</file>

<file path=xl/sharedStrings.xml><?xml version="1.0" encoding="utf-8"?>
<sst xmlns="http://schemas.openxmlformats.org/spreadsheetml/2006/main" count="702" uniqueCount="437">
  <si>
    <t>DỰ ÁN: IT215_N25DTCN008 - FASTAPI RESEARCH SYSTEM</t>
  </si>
  <si>
    <t>CHECKLIST &amp; TEST CASES KIỂM THỬ THỦ CÔNG QUA SWAGGER UI VÀ POSTMAN</t>
  </si>
  <si>
    <t>TỔNG SỐ TEST CASES</t>
  </si>
  <si>
    <t>SỐ CASE ĐÃ ĐẠT (PASS)</t>
  </si>
  <si>
    <t>SỐ CASE THẤT BẠI (FAIL)</t>
  </si>
  <si>
    <t>SỐ CASE ĐANG CHỜ (PENDING)</t>
  </si>
  <si>
    <t>TỶ LỆ ĐẠT (PASS RATE)</t>
  </si>
  <si>
    <t>1. MÔI TRƯỜNG VÀ THIẾT LẬP KIỂM THỬ</t>
  </si>
  <si>
    <t>Môi trường:</t>
  </si>
  <si>
    <t>Localhost Development Server</t>
  </si>
  <si>
    <t>Base URL:</t>
  </si>
  <si>
    <t>http://127.0.0.1:8000</t>
  </si>
  <si>
    <t>Swagger UI URL:</t>
  </si>
  <si>
    <t>http://127.0.0.1:8000/docs</t>
  </si>
  <si>
    <t>ReDoc URL:</t>
  </si>
  <si>
    <t>http://127.0.0.1:8000/redoc</t>
  </si>
  <si>
    <t>Cơ sở dữ liệu:</t>
  </si>
  <si>
    <t>SQLite / PostgreSQL (SQLAlchemy ORM)</t>
  </si>
  <si>
    <t>Công cụ kiểm thử:</t>
  </si>
  <si>
    <t>Swagger UI tương tác trực tiếp &amp; Postman API Client</t>
  </si>
  <si>
    <t>2. DANH SÁCH TÀI KHOẢN DÙNG ĐỂ KIỂM THỬ PHÂN QUYỀN (RBAC &amp; BOLA)</t>
  </si>
  <si>
    <t>STT</t>
  </si>
  <si>
    <t>Vai trò (Role)</t>
  </si>
  <si>
    <t>Email / Username</t>
  </si>
  <si>
    <t>Password</t>
  </si>
  <si>
    <t>Mô tả mục đích kiểm thử</t>
  </si>
  <si>
    <t>ADMIN</t>
  </si>
  <si>
    <t>admin@ptit.edu.vn</t>
  </si>
  <si>
    <t>Admin@123456</t>
  </si>
  <si>
    <t>Kiểm thử các route yêu cầu quyền admin (GET /users), quản trị hệ thống</t>
  </si>
  <si>
    <t>Role: ADMIN, is_active: True</t>
  </si>
  <si>
    <t>USER (Owner 1)</t>
  </si>
  <si>
    <t>owner1@ptit.edu.vn</t>
  </si>
  <si>
    <t>Owner@123456</t>
  </si>
  <si>
    <t>Tạo dự án Research 1, thêm thành viên, gán task, sửa/xóa dự án của mình</t>
  </si>
  <si>
    <t>Role: USER, Owner Project 1</t>
  </si>
  <si>
    <t>USER (Member 1)</t>
  </si>
  <si>
    <t>member1@ptit.edu.vn</t>
  </si>
  <si>
    <t>Member@123456</t>
  </si>
  <si>
    <t>Thành viên tham gia Project 1, được xem task, chỉ cập nhật status task được giao</t>
  </si>
  <si>
    <t>Role: USER, Member Project 1</t>
  </si>
  <si>
    <t>USER (Stranger/User 2)</t>
  </si>
  <si>
    <t>stranger@ptit.edu.vn</t>
  </si>
  <si>
    <t>User2@123456</t>
  </si>
  <si>
    <t>User độc lập, không thuộc Project 1. Dùng kiểm tra BOLA/IDOR xem lén dự án/task</t>
  </si>
  <si>
    <t>Role: USER, Non-member Project 1</t>
  </si>
  <si>
    <t>INACTIVE USER</t>
  </si>
  <si>
    <t>locked@ptit.edu.vn</t>
  </si>
  <si>
    <t>Locked@123456</t>
  </si>
  <si>
    <t>Tài khoản bị khóa (is_active = False), kiểm tra cơ chế chặn đăng nhập/gọi API</t>
  </si>
  <si>
    <t>Role: USER, is_active: False</t>
  </si>
  <si>
    <t>3. QUY TRÌNH THỰC HIỆN KIỂM THỬ THỦ CÔNG TRÊN SWAGGER &amp; POSTMAN</t>
  </si>
  <si>
    <t>Bước 1</t>
  </si>
  <si>
    <t>Khởi động Backend server FastAPI bằng lệnh: uvicorn app.main:app --reload</t>
  </si>
  <si>
    <t>Bước 2</t>
  </si>
  <si>
    <t>Mở trình duyệt truy cập Swagger UI tại: http://127.0.0.1:8000/docs hoặc mở Postman Client</t>
  </si>
  <si>
    <t>Bước 3</t>
  </si>
  <si>
    <t>Đăng ký (POST /auth/register) và Đăng nhập (POST /auth/login) để lấy access_token JWT</t>
  </si>
  <si>
    <t>Bước 4</t>
  </si>
  <si>
    <t>Authorize trên Swagger bằng nút 'Authorize' (nhập Bearer &lt;token&gt;) hoặc cấu hình Bearer Token trên Postman Header</t>
  </si>
  <si>
    <t>Bước 5</t>
  </si>
  <si>
    <t>Lần lượt thực hiện từng Test Case theo thứ tự STT tại Sheet 'API Test Checklist' &amp; 'Cybersecurity Test Matrix'</t>
  </si>
  <si>
    <t>Bước 6</t>
  </si>
  <si>
    <t>Đối chiếu Response Code, Body JSON trả về với cột 'Kết Quả Kỳ Vọng'. Chọn Status: PASS / FAIL và ghi chú lại lỗi nếu có.</t>
  </si>
  <si>
    <t>BẢNG CHECKLIST KIỂM THỬ THỦ CÔNG API (SWAGGER / POSTMAN)</t>
  </si>
  <si>
    <t>Dự án: IT215_N25DTCN008 - FASTAPI RESEARCH SYSTEM | Test toàn bộ Luồng Chính, Case Đúng, Case Lỗi và Validation</t>
  </si>
  <si>
    <t>Mã Test Case (ID)</t>
  </si>
  <si>
    <t>Phân Hệ (Module)</t>
  </si>
  <si>
    <t>Phương Thức &amp; Endpoint</t>
  </si>
  <si>
    <t>Phân Loại (Type)</t>
  </si>
  <si>
    <t>Mục Tiêu &amp; Kịch Bản Kiểm Thử (Test Scenario)</t>
  </si>
  <si>
    <t>Dữ Liệu Đầu Vào (Payload / Params / Auth)</t>
  </si>
  <si>
    <t>Kết Quả Kỳ Vọng (Expected Status &amp; Body)</t>
  </si>
  <si>
    <t>Trạng Thái (Status)</t>
  </si>
  <si>
    <t>Ghi Chú / Phản Hồi Thực Tế</t>
  </si>
  <si>
    <t>TC_AUTH_01</t>
  </si>
  <si>
    <t>Auth</t>
  </si>
  <si>
    <t>POST /auth/register</t>
  </si>
  <si>
    <t>Case Đúng (Positive)</t>
  </si>
  <si>
    <t>Đăng ký tài khoản mới với đầy đủ thông tin hợp lệ</t>
  </si>
  <si>
    <t>Body: {"email": "user1@ptit.edu.vn", "full_name": "Nguyen Van A", "password": "Password@123"}</t>
  </si>
  <si>
    <t>Status: 201 Created
Body: data chứa user object (id, email, full_name, created_at), message: 'Tạo tài khoản thành công!'</t>
  </si>
  <si>
    <t>TC_AUTH_02</t>
  </si>
  <si>
    <t>Case Lỗi (Negative)</t>
  </si>
  <si>
    <t>Đăng ký với email đã tồn tại trong database</t>
  </si>
  <si>
    <t>Body: {"email": "user1@ptit.edu.vn", "full_name": "Nguyen Van B", "password": "Password@123"}</t>
  </si>
  <si>
    <t>Status: 400 Bad Request
Body: detail: 'Email đã tồn tại! Vui lòng nhập Email khác'</t>
  </si>
  <si>
    <t>TC_AUTH_03</t>
  </si>
  <si>
    <t>Case Lỗi (Validation)</t>
  </si>
  <si>
    <t>Đăng ký với mật khẩu ngắn hơn 8 ký tự (min_length=8)</t>
  </si>
  <si>
    <t>Body: {"email": "user2@ptit.edu.vn", "full_name": "Nguyen Van C", "password": "123"}</t>
  </si>
  <si>
    <t>Status: 422 Unprocessable Entity
Body: error validation String should have at least 8 characters</t>
  </si>
  <si>
    <t>TC_AUTH_04</t>
  </si>
  <si>
    <t>Định dạng email không hợp lệ (sai định dạng EmailStr)</t>
  </si>
  <si>
    <t>Body: {"email": "invalid_email_format", "full_name": "Nguyen Van D", "password": "Password@123"}</t>
  </si>
  <si>
    <t>Status: 422 Unprocessable Entity
Body: error validation value is not a valid email address</t>
  </si>
  <si>
    <t>TC_AUTH_05</t>
  </si>
  <si>
    <t>Thiếu trường bắt buộc trong body (thiếu full_name hoặc password)</t>
  </si>
  <si>
    <t>Body: {"email": "user3@ptit.edu.vn"}</t>
  </si>
  <si>
    <t>Status: 422 Unprocessable Entity
Body: error validation field required</t>
  </si>
  <si>
    <t>TC_AUTH_06</t>
  </si>
  <si>
    <t>POST /auth/login</t>
  </si>
  <si>
    <t>Đăng nhập thành công với email và password chính xác</t>
  </si>
  <si>
    <t>Body: {"email": "user1@ptit.edu.vn", "password": "Password@123"}</t>
  </si>
  <si>
    <t>Status: 200 OK
Body: data chứa access_token, token_type: 'bearer', message: 'Đăng nhập thành công!'</t>
  </si>
  <si>
    <t>TC_AUTH_07</t>
  </si>
  <si>
    <t>Đăng nhập với mật khẩu không chính xác</t>
  </si>
  <si>
    <t>Body: {"email": "user1@ptit.edu.vn", "password": "WrongPassword@123"}</t>
  </si>
  <si>
    <t>Status: 401 Unauthorized
Body: detail: 'Email hoặc mật khẩu không chính xác!'</t>
  </si>
  <si>
    <t>TC_AUTH_08</t>
  </si>
  <si>
    <t>Đăng nhập với email không tồn tại trong hệ thống</t>
  </si>
  <si>
    <t>Body: {"email": "nonexistent@ptit.edu.vn", "password": "Password@123"}</t>
  </si>
  <si>
    <t>TC_AUTH_09</t>
  </si>
  <si>
    <t>Đăng nhập bằng tài khoản đang bị vô hiệu hóa (is_active = False)</t>
  </si>
  <si>
    <t>Body: {"email": "locked@ptit.edu.vn", "password": "Locked@123456"}</t>
  </si>
  <si>
    <t>Status: 403 Forbidden
Body: detail: 'Tài khoản đang bị khóa hoặc không hoạt động!'</t>
  </si>
  <si>
    <t>TC_AUTH_10</t>
  </si>
  <si>
    <t>Gửi body rỗng hoặc sai cú pháp JSON</t>
  </si>
  <si>
    <t>Body: {}</t>
  </si>
  <si>
    <t>Status: 422 Unprocessable Entity
Body: missing email/password</t>
  </si>
  <si>
    <t>TC_USER_01</t>
  </si>
  <si>
    <t>Users</t>
  </si>
  <si>
    <t>GET /users/me</t>
  </si>
  <si>
    <t>Lấy thông tin tài khoản hiện tại với Bearer Token hợp lệ</t>
  </si>
  <si>
    <t>Header: Authorization: Bearer &lt;valid_token&gt;</t>
  </si>
  <si>
    <t>Status: 200 OK
Body: data chứa thông tin UserResponse của user đang đăng nhập</t>
  </si>
  <si>
    <t>TC_USER_02</t>
  </si>
  <si>
    <t>Gọi API mà không truyền Authorization Token lên Header</t>
  </si>
  <si>
    <t>Header: Không có header Authorization</t>
  </si>
  <si>
    <t>Status: 401 Unauthorized / 403 Forbidden
Body: detail: 'Not authenticated'</t>
  </si>
  <si>
    <t>TC_USER_03</t>
  </si>
  <si>
    <t>Gọi API với Token không đúng định dạng / Token giả mạo</t>
  </si>
  <si>
    <t>Header: Authorization: Bearer invalid_jwt_token_sample</t>
  </si>
  <si>
    <t>Status: 401 Unauthorized
Body: detail: 'Không thể xác thực thông tin đăng nhập!'</t>
  </si>
  <si>
    <t>TC_USER_04</t>
  </si>
  <si>
    <t>GET /users</t>
  </si>
  <si>
    <t>Tài khoản ADMIN lấy danh sách tất cả người dùng trong hệ thống</t>
  </si>
  <si>
    <t>Header: Authorization: Bearer &lt;admin_token&gt;</t>
  </si>
  <si>
    <t>Status: 200 OK
Body: data chứa danh sách mảng các user, message: 'Lấy danh sách người dùng thành công'</t>
  </si>
  <si>
    <t>TC_USER_05</t>
  </si>
  <si>
    <t>Admin tìm kiếm người dùng theo tên/email và lọc theo trạng thái is_active</t>
  </si>
  <si>
    <t>Query Params: ?search=Nguyen&amp;is_active=true</t>
  </si>
  <si>
    <t>Status: 200 OK
Body: data trả về đúng danh sách user khớp với từ khóa tìm kiếm</t>
  </si>
  <si>
    <t>TC_USER_06</t>
  </si>
  <si>
    <t>Case Lỗi (Negative / RBAC)</t>
  </si>
  <si>
    <t>Tài khoản USER thường cố tình gọi API lấy danh sách user của Admin</t>
  </si>
  <si>
    <t>Header: Authorization: Bearer &lt;regular_user_token&gt;</t>
  </si>
  <si>
    <t>Status: 403 Forbidden
Body: detail: 'Quyền hạn không cho phép!'</t>
  </si>
  <si>
    <t>TC_PROJ_01</t>
  </si>
  <si>
    <t>Projects</t>
  </si>
  <si>
    <t>POST /research-projects</t>
  </si>
  <si>
    <t>Tạo mới đề tài nghiên cứu với dữ liệu hợp lệ</t>
  </si>
  <si>
    <t>Header: Bearer User1
Body: {"name": "Hệ thống AI Cyber Security", "description": "Nghiên cứu mô hình phát hiện mã độc"}</t>
  </si>
  <si>
    <t>Status: 201 Created
Body: data chứa đề tài mới (id, name, owner_id=User1), tự động thêm User1 vào bảng members với role OWNER</t>
  </si>
  <si>
    <t>TC_PROJ_02</t>
  </si>
  <si>
    <t>Tên đề tài vượt quá giới hạn 150 ký tự cho phép</t>
  </si>
  <si>
    <t>Body: {"name": "&lt;chuỗi ký tự dài 160 ký tự&gt;", "description": "Test overflow"}</t>
  </si>
  <si>
    <t>Status: 422 Unprocessable Entity
Body: validation error String should have at most 150 characters</t>
  </si>
  <si>
    <t>TC_PROJ_03</t>
  </si>
  <si>
    <t>Bỏ trống trường name bắt buộc khi tạo đề tài</t>
  </si>
  <si>
    <t>Body: {"description": "Thiếu name"}</t>
  </si>
  <si>
    <t>Status: 422 Unprocessable Entity
Body: validation error Field required</t>
  </si>
  <si>
    <t>TC_PROJ_04</t>
  </si>
  <si>
    <t>GET /research-projects</t>
  </si>
  <si>
    <t>Lấy danh sách các đề tài mà User hiện tại là Chủ sở hữu (Owner) hoặc Thành viên (Member)</t>
  </si>
  <si>
    <t>Header: Authorization: Bearer &lt;user_token&gt;</t>
  </si>
  <si>
    <t>Status: 200 OK
Body: data chứa danh sách các project mà user tham gia, message: 'Lấy danh sách đề tài nghiên cứu thành công'</t>
  </si>
  <si>
    <t>TC_PROJ_05</t>
  </si>
  <si>
    <t>Tìm kiếm đề tài nghiên cứu theo từ khóa tên dự án</t>
  </si>
  <si>
    <t>Query Param: ?search=Security</t>
  </si>
  <si>
    <t>Status: 200 OK
Body: data chứa danh sách các đề tài có tên khớp từ khóa tìm kiếm</t>
  </si>
  <si>
    <t>TC_PROJ_06</t>
  </si>
  <si>
    <t>GET /research-projects/{id}</t>
  </si>
  <si>
    <t>Owner hoặc Member xem chi tiết thông tin đề tài hợp lệ</t>
  </si>
  <si>
    <t>Header: Bearer Member/Owner
Path: id=1</t>
  </si>
  <si>
    <t>Status: 200 OK
Body: data chứa chi tiết project id=1</t>
  </si>
  <si>
    <t>TC_PROJ_07</t>
  </si>
  <si>
    <t>Xem thông tin đề tài với ID không tồn tại trong hệ thống</t>
  </si>
  <si>
    <t>Path: id=99999</t>
  </si>
  <si>
    <t>Status: 404 Not Found
Body: detail: 'Đề tài nghiên cứu không tồn tại'</t>
  </si>
  <si>
    <t>TC_PROJ_08</t>
  </si>
  <si>
    <t>Case Lỗi (Security / IDOR)</t>
  </si>
  <si>
    <t>User ngoài (không phải Owner, không phải Member) cố xem chi tiết đề tài</t>
  </si>
  <si>
    <t>Header: Bearer Stranger_User
Path: id=1</t>
  </si>
  <si>
    <t>Status: 403 Forbidden
Body: detail: 'Chỉ thành viên đề tài nghiên cứu mới được xem'</t>
  </si>
  <si>
    <t>TC_PROJ_09</t>
  </si>
  <si>
    <t>PATCH /research-projects/{id}</t>
  </si>
  <si>
    <t>Owner cập nhật thông tin tên và mô tả đề tài nghiên cứu</t>
  </si>
  <si>
    <t>Header: Bearer Owner_User
Path: id=1
Body: {"name": "AI Cyber Security V2", "description": "Cập nhật mô tả mới"}</t>
  </si>
  <si>
    <t>Status: 200 OK
Body: data chứa project với thông tin name và description đã cập nhật</t>
  </si>
  <si>
    <t>TC_PROJ_10</t>
  </si>
  <si>
    <t>Thành viên (Member) hoặc Người ngoài cố sửa thông tin đề tài</t>
  </si>
  <si>
    <t>Header: Bearer Member_User
Path: id=1
Body: {"name": "Tên sửa lén"}</t>
  </si>
  <si>
    <t>Status: 403 Forbidden
Body: detail: 'Chỉ OWNER được sửa đề tài nghiên cứu'</t>
  </si>
  <si>
    <t>TC_PROJ_11</t>
  </si>
  <si>
    <t>Cập nhật đề tài với ID không tồn tại</t>
  </si>
  <si>
    <t>Header: Bearer Owner_User
Path: id=99999
Body: {"name": "New Name"}</t>
  </si>
  <si>
    <t>TC_PROJ_12</t>
  </si>
  <si>
    <t>DELETE /research-projects/{id}</t>
  </si>
  <si>
    <t>Thành viên (Member) hoặc Người ngoài cố xóa đề tài nghiên cứu</t>
  </si>
  <si>
    <t>Header: Bearer Member_User
Path: id=1</t>
  </si>
  <si>
    <t>Status: 403 Forbidden
Body: detail: 'Chỉ OWNER được xóa đề tài nghiên cứu'</t>
  </si>
  <si>
    <t>TC_PROJ_13</t>
  </si>
  <si>
    <t>Chủ sở hữu (Owner) xóa đề tài nghiên cứu thành công</t>
  </si>
  <si>
    <t>Header: Bearer Owner_User
Path: id=1</t>
  </si>
  <si>
    <t>Status: 200 OK
Body: data: null, message: 'Xóa đề tài nghiên cứu thành công'</t>
  </si>
  <si>
    <t>TC_MEM_01</t>
  </si>
  <si>
    <t>Members</t>
  </si>
  <si>
    <t>POST /research-projects/{id}/members</t>
  </si>
  <si>
    <t>Owner thêm một user vào danh sách thành viên đề tài</t>
  </si>
  <si>
    <t>Header: Bearer Owner_User
Path: id=1
Body: {"user_id": 2, "role": "MEMBER"}</t>
  </si>
  <si>
    <t>Status: 201 Created
Body: data chứa member (project_id=1, user_id=2, role='MEMBER', joined_at), message: 'Thêm thành viên mới thành công'</t>
  </si>
  <si>
    <t>TC_MEM_02</t>
  </si>
  <si>
    <t>Thành viên hoặc Người ngoài cố thêm thành viên khác vào đề tài</t>
  </si>
  <si>
    <t>Header: Bearer Member_User
Path: id=1
Body: {"user_id": 3}</t>
  </si>
  <si>
    <t>Status: 403 Forbidden
Body: detail: 'Chỉ OWNER được thêm thành viên'</t>
  </si>
  <si>
    <t>TC_MEM_03</t>
  </si>
  <si>
    <t>Owner thêm lại user đã có trong đề tài (trùng thành viên)</t>
  </si>
  <si>
    <t>Header: Bearer Owner_User
Path: id=1
Body: {"user_id": 2}</t>
  </si>
  <si>
    <t>Status: 400 Bad Request
Body: detail: 'User đã là thành viên của đề tài nghiên cứu'</t>
  </si>
  <si>
    <t>TC_MEM_04</t>
  </si>
  <si>
    <t>Owner tự thêm chính mình vào danh sách thành viên qua endpoint</t>
  </si>
  <si>
    <t>Header: Bearer Owner_User
Path: id=1
Body: {"user_id": &lt;owner_id&gt;}</t>
  </si>
  <si>
    <t>Status: 400 Bad Request
Body: detail: 'Bạn đã là chủ sở hữu của đề tài nghiên cứu'</t>
  </si>
  <si>
    <t>TC_MEM_05</t>
  </si>
  <si>
    <t>GET /research-projects/{id}/members</t>
  </si>
  <si>
    <t>Owner hoặc Member xem danh sách thành viên của đề tài</t>
  </si>
  <si>
    <t>Status: 200 OK
Body: data chứa danh sách toàn bộ thành viên của đề tài</t>
  </si>
  <si>
    <t>TC_MEM_06</t>
  </si>
  <si>
    <t>Người ngoài (Stranger) cố xem danh sách thành viên của đề tài</t>
  </si>
  <si>
    <t>Status: 403 Forbidden
Body: detail: 'Chỉ thành viên đề tài nghiên cứu mới được xem danh sách'</t>
  </si>
  <si>
    <t>TC_MEM_07</t>
  </si>
  <si>
    <t>DELETE /research-projects/{id}/members/{user_id}</t>
  </si>
  <si>
    <t>Owner xóa một thành viên ra khỏi đề tài</t>
  </si>
  <si>
    <t>Header: Bearer Owner_User
Path: id=1, user_id=2</t>
  </si>
  <si>
    <t>Status: 200 OK
Body: data: null, message: 'Xóa thành viên thành công'</t>
  </si>
  <si>
    <t>TC_MEM_08</t>
  </si>
  <si>
    <t>Owner cố xóa chính tài khoản chủ sở hữu khỏi đề tài</t>
  </si>
  <si>
    <t>Header: Bearer Owner_User
Path: id=1, user_id=&lt;owner_id&gt;</t>
  </si>
  <si>
    <t>Status: 400 Bad Request
Body: detail: 'Không được xóa chủ sở hữu'</t>
  </si>
  <si>
    <t>TC_MEM_09</t>
  </si>
  <si>
    <t>Xóa user không tồn tại trong danh sách thành viên đề tài</t>
  </si>
  <si>
    <t>Header: Bearer Owner_User
Path: id=1, user_id=99999</t>
  </si>
  <si>
    <t>Status: 404 Not Found
Body: detail: 'Thành viên không tồn tại trong đề tài nghiên cứu'</t>
  </si>
  <si>
    <t>TC_TASK_01</t>
  </si>
  <si>
    <t>Tasks</t>
  </si>
  <si>
    <t>POST /research-projects/{id}/research-tasks</t>
  </si>
  <si>
    <t>Thành viên tạo nhiệm vụ mới và gán cho thành viên hợp lệ trong đề tài</t>
  </si>
  <si>
    <t>Header: Bearer Member_User
Path: id=1
Body: {"title": "Khảo sát tài liệu", "description": "Đọc các paper về IDS", "priority": "HIGH", "status": "TODO", "assignee_id": 2}</t>
  </si>
  <si>
    <t>Status: 201 Created
Body: data chứa task mới (id, project_id=1, title, status='TODO', priority='HIGH', assignee_id=2)</t>
  </si>
  <si>
    <t>TC_TASK_02</t>
  </si>
  <si>
    <t>Tạo nhiệm vụ và gán assignee cho người không thuộc đề tài</t>
  </si>
  <si>
    <t>Header: Bearer Owner_User
Path: id=1
Body: {"title": "Task 2", "assignee_id": 999}</t>
  </si>
  <si>
    <t>Status: 400 Bad Request
Body: detail: 'Assignee phải là thành viên của đề tài nghiên cứu'</t>
  </si>
  <si>
    <t>TC_TASK_03</t>
  </si>
  <si>
    <t>Case Lỗi (Security / RBAC)</t>
  </si>
  <si>
    <t>Người ngoài cố tạo nhiệm vụ trong đề tài</t>
  </si>
  <si>
    <t>Header: Bearer Stranger_User
Path: id=1
Body: {"title": "Hack Task"}</t>
  </si>
  <si>
    <t>Status: 403 Forbidden
Body: detail: 'Chỉ thành viên đề tài nghiên cứu mới được tạo nhiệm vụ'</t>
  </si>
  <si>
    <t>TC_TASK_04</t>
  </si>
  <si>
    <t>GET /research-projects/{id}/research-tasks</t>
  </si>
  <si>
    <t>Lấy danh sách nhiệm vụ của đề tài có lọc status/priority và phân trang</t>
  </si>
  <si>
    <t>Query Params: ?status=TODO&amp;priority=HIGH&amp;limit=10&amp;offset=0</t>
  </si>
  <si>
    <t>Status: 200 OK
Body: data chứa items (danh sách tasks), total, limit, offset</t>
  </si>
  <si>
    <t>TC_TASK_05</t>
  </si>
  <si>
    <t>Người ngoài cố lấy danh sách nhiệm vụ của đề tài khác</t>
  </si>
  <si>
    <t>Status: 403 Forbidden
Body: detail: 'Chỉ thành viên đề tài nghiên cứu mới được xem nhiệm vụ'</t>
  </si>
  <si>
    <t>TC_TASK_06</t>
  </si>
  <si>
    <t>GET /research-tasks/{id}</t>
  </si>
  <si>
    <t>Thành viên đề tài xem thông tin chi tiết một nhiệm vụ</t>
  </si>
  <si>
    <t>Status: 200 OK
Body: data chứa thông tin chi tiết nhiệm vụ</t>
  </si>
  <si>
    <t>TC_TASK_07</t>
  </si>
  <si>
    <t>Xem thông tin nhiệm vụ với ID không tồn tại</t>
  </si>
  <si>
    <t>Status: 404 Not Found
Body: detail: 'Nhiệm vụ nghiên cứu không tồn tại'</t>
  </si>
  <si>
    <t>TC_TASK_08</t>
  </si>
  <si>
    <t>Người ngoài đề tài cố xem thông tin nhiệm vụ</t>
  </si>
  <si>
    <t>TC_TASK_09</t>
  </si>
  <si>
    <t>PATCH /research-tasks/{id}</t>
  </si>
  <si>
    <t>Owner cập nhật tiêu đề, mô tả và độ ưu tiên của nhiệm vụ</t>
  </si>
  <si>
    <t>Header: Bearer Owner_User
Path: id=1
Body: {"title": "Khảo sát tài liệu V2", "priority": "MEDIUM"}</t>
  </si>
  <si>
    <t>Status: 200 OK
Body: data chứa nhiệm vụ đã được cập nhật thông tin</t>
  </si>
  <si>
    <t>TC_TASK_10</t>
  </si>
  <si>
    <t>Assignee (người được giao task) cập nhật trạng thái nhiệm vụ sang IN_PROGRESS / DONE</t>
  </si>
  <si>
    <t>Header: Bearer Assignee_User
Path: id=1
Body: {"status": "IN_PROGRESS"}</t>
  </si>
  <si>
    <t>Status: 200 OK
Body: data chứa task với status='IN_PROGRESS'</t>
  </si>
  <si>
    <t>TC_TASK_11</t>
  </si>
  <si>
    <t>Assignee cố tình sửa tiêu đề/độ ưu tiên của nhiệm vụ (chỉ được sửa status)</t>
  </si>
  <si>
    <t>Header: Bearer Assignee_User
Path: id=1
Body: {"title": "Sửa tiêu đề trái phép"}</t>
  </si>
  <si>
    <t>Status: 403 Forbidden
Body: detail: 'Assignee chỉ được phép cập nhật trạng thái (status) của nhiệm vụ'</t>
  </si>
  <si>
    <t>TC_TASK_12</t>
  </si>
  <si>
    <t>User không phải Owner và không phải Assignee cố sửa nhiệm vụ</t>
  </si>
  <si>
    <t>Header: Bearer Other_Member_User
Path: id=1
Body: {"status": "DONE"}</t>
  </si>
  <si>
    <t>Status: 403 Forbidden
Body: detail: 'Bạn không có quyền cập nhật nhiệm vụ này'</t>
  </si>
  <si>
    <t>TC_TASK_13</t>
  </si>
  <si>
    <t>DELETE /research-tasks/{id}</t>
  </si>
  <si>
    <t>Assignee hoặc Member cố xóa nhiệm vụ nghiên cứu</t>
  </si>
  <si>
    <t>Header: Bearer Assignee_User
Path: id=1</t>
  </si>
  <si>
    <t>Status: 403 Forbidden
Body: detail: 'Chỉ OWNER được xóa nhiệm vụ nghiên cứu'</t>
  </si>
  <si>
    <t>TC_TASK_14</t>
  </si>
  <si>
    <t>Chủ sở hữu (Owner) xóa nhiệm vụ nghiên cứu thành công</t>
  </si>
  <si>
    <t>Status: 200 OK
Body: data: null, message: 'Xóa nhiệm vụ nghiên cứu thành công'</t>
  </si>
  <si>
    <t>MA TRẬN KIỂM THỬ AN TOÀN THÔNG TIN &amp; LỖ HỔNG (OWASP API SECURITY)</t>
  </si>
  <si>
    <t>Dự án: IT215_N25DTCN008 | Kiểm thử chuyên sâu BOLA, BFLA, Mass Assignment, JWT Security, SQLi, Phân quyền</t>
  </si>
  <si>
    <t>Lỗ Hổng / Danh Mục OWASP</t>
  </si>
  <si>
    <t>Kịch Bản Tấn Công / Kiểm Thử (Attack Scenario)</t>
  </si>
  <si>
    <t>Payload &amp; Vector Tấn Công</t>
  </si>
  <si>
    <t>Kết Quả Kỳ Vọng Bảo Mật (Expected Defense)</t>
  </si>
  <si>
    <t>Khuyến Nghị / Đánh Giá Bảo Mật</t>
  </si>
  <si>
    <t>SEC_BOLA_01</t>
  </si>
  <si>
    <t>BOLA / IDOR</t>
  </si>
  <si>
    <t>Kiểm thử truy cập dữ liệu đề tài trái phép</t>
  </si>
  <si>
    <t>User B (không thuộc đề tài của User A) gửi request GET /research-projects/{id_A} bằng token của User B</t>
  </si>
  <si>
    <t>Bảo vệ tài nguyên giữa các tổ chức/người dùng</t>
  </si>
  <si>
    <t>SEC_BOLA_02</t>
  </si>
  <si>
    <t>Kiểm thử leo quyền sửa đổi đề tài</t>
  </si>
  <si>
    <t>Member thường hoặc User ngoài gửi PATCH sửa tên/mô tả đề tài của Owner</t>
  </si>
  <si>
    <t>Chặn can thiệp trái phép vào cấu hình dự án</t>
  </si>
  <si>
    <t>SEC_BOLA_03</t>
  </si>
  <si>
    <t>Kiểm thử xóa đề tài của người khác</t>
  </si>
  <si>
    <t>Member thường hoặc User lạ gửi request DELETE đề tài</t>
  </si>
  <si>
    <t>Ngăn chặn hành vi phá hoại dữ liệu (Data Deletion)</t>
  </si>
  <si>
    <t>SEC_BOLA_04</t>
  </si>
  <si>
    <t>Kiểm thử rò rỉ nhiệm vụ qua ID enumeration</t>
  </si>
  <si>
    <t>User ngoài cố tình duyệt ID tuần tự (1, 2, 3...) để đọc trộm task</t>
  </si>
  <si>
    <t>Chống tấn công ID Scraping/Enumeration</t>
  </si>
  <si>
    <t>SEC_BFLA_01</t>
  </si>
  <si>
    <t>BFLA / Escalation</t>
  </si>
  <si>
    <t>Kiểm thử leo quyền người dùng thông thường lên Admin</t>
  </si>
  <si>
    <t>Tài khoản có role=USER gửi request đến endpoint quản trị hệ thống GET /users</t>
  </si>
  <si>
    <t>Xác thực cơ chế require_admin trên router</t>
  </si>
  <si>
    <t>SEC_PROP_01</t>
  </si>
  <si>
    <t>Mass Assignment</t>
  </si>
  <si>
    <t>Chèn thuộc tính ẩn role='ADMIN' khi đăng ký tài khoản</t>
  </si>
  <si>
    <t>Body: {"email": "hacker@ptit.edu.vn", "full_name": "Hacker", "password": "Password@123", "role": "ADMIN", "is_active": true}</t>
  </si>
  <si>
    <t>Status: 201 Created
User được tạo chỉ mang role=USER mặc định, không bị gán quyền ADMIN</t>
  </si>
  <si>
    <t>Pydantic Schema phải filter bỏ field không khai báo</t>
  </si>
  <si>
    <t>SEC_PROP_02</t>
  </si>
  <si>
    <t>Property Tampering</t>
  </si>
  <si>
    <t>Assignee cố thay đổi title/priority của Task ngoài status</t>
  </si>
  <si>
    <t>Header: Token Assignee
Body: {"status": "IN_PROGRESS", "title": "Hacked Title", "priority": "HIGH"}</t>
  </si>
  <si>
    <t>Đảm bảo phân quyền chi tiết tới cấp trường dữ liệu</t>
  </si>
  <si>
    <t>SEC_JWT_01</t>
  </si>
  <si>
    <t>JWT Security</t>
  </si>
  <si>
    <t>Tấn công sửa đổi Signature Token (Tampered Token)</t>
  </si>
  <si>
    <t>Đổi giá trị payload của token (ví dụ đổi sub sang email admin) nhưng giữ nguyên signature cũ</t>
  </si>
  <si>
    <t>Backend phải verify chữ ký HMAC-SHA256</t>
  </si>
  <si>
    <t>SEC_JWT_02</t>
  </si>
  <si>
    <t>Tấn công thuật toán None Algorithm</t>
  </si>
  <si>
    <t>Sửa header JWT thành {'alg': 'none', 'typ': 'JWT'} và bỏ phần signature</t>
  </si>
  <si>
    <t>JWT parser phải từ chối thuật toán none</t>
  </si>
  <si>
    <t>SEC_BRUTE_01</t>
  </si>
  <si>
    <t>Rate Limiting</t>
  </si>
  <si>
    <t>Tấn công dò quét mật khẩu Brute-force</t>
  </si>
  <si>
    <t>Bắn liên tục 200 request đăng nhập sai mật khẩu trong 10 giây qua Postman Collection Runner</t>
  </si>
  <si>
    <t>Status: 429 Too Many Requests (nếu có Rate Limiter) hoặc ghi nhận log cảnh báo bảo mật</t>
  </si>
  <si>
    <t>Khuyến nghị bổ sung SlowAPI / Redis Rate Limiter</t>
  </si>
  <si>
    <t>SEC_SQLI_01</t>
  </si>
  <si>
    <t>SQL Injection</t>
  </si>
  <si>
    <t>Kiểm thử chèn mã SQL vào query param search</t>
  </si>
  <si>
    <t>Gửi request: GET /research-projects?search=' OR 1=1 --</t>
  </si>
  <si>
    <t>Status: 200 OK
Body: Trả về danh sách rỗng hoặc đúng dữ liệu của user, không bị lộ toàn bộ DB</t>
  </si>
  <si>
    <t>SQLAlchemy ORM tự động parameterized input</t>
  </si>
  <si>
    <t>SEC_AUTH_01</t>
  </si>
  <si>
    <t>Account Lock</t>
  </si>
  <si>
    <t>POST /auth/login &amp; GET /users/me</t>
  </si>
  <si>
    <t>Kiểm thử tài khoản bị khóa (is_active = False)</t>
  </si>
  <si>
    <t>Đăng nhập hoặc dùng token cũ của tài khoản bị khóa gọi API</t>
  </si>
  <si>
    <t>Xác thực trạng thái tài khoản ở cả bước login và middleware</t>
  </si>
  <si>
    <t>DỮ LIỆU MẪU &amp; CẤU HÌNH POSTMAN / SWAGGER</t>
  </si>
  <si>
    <t>Dự án: IT215_N25DTCN008 | Mẫu JSON Payload, Headers và Quy trình Copy-Paste thực hiện test thủ công</t>
  </si>
  <si>
    <t>Chức Năng (Feature)</t>
  </si>
  <si>
    <t>Method &amp; Endpoint</t>
  </si>
  <si>
    <t>Headers Cần Thiết</t>
  </si>
  <si>
    <t>Sample JSON Payload / Query Parameters</t>
  </si>
  <si>
    <t>Mô Tả &amp; Cách Sử Dụng Trên Swagger / Postman</t>
  </si>
  <si>
    <t>1. Đăng ký tài khoản (Register)</t>
  </si>
  <si>
    <t>Content-Type: application/json</t>
  </si>
  <si>
    <t>{
  "email": "user1@ptit.edu.vn",
  "full_name": "Nguyen Van A",
  "password": "Password@123"
}</t>
  </si>
  <si>
    <t>Đăng ký tài khoản người dùng mới. Mật khẩu tối thiểu 8 ký tự.</t>
  </si>
  <si>
    <t>2. Đăng ký tài khoản thứ hai (Member)</t>
  </si>
  <si>
    <t>{
  "email": "member1@ptit.edu.vn",
  "full_name": "Le Thi B",
  "password": "Password@123"
}</t>
  </si>
  <si>
    <t>Tạo tài khoản thứ 2 để test phân quyền và gán task cho thành viên.</t>
  </si>
  <si>
    <t>3. Đăng nhập hệ thống (Login)</t>
  </si>
  <si>
    <t>{
  "email": "user1@ptit.edu.vn",
  "password": "Password@123"
}</t>
  </si>
  <si>
    <t>Lấy access_token. Copy chuỗi token trong 'access_token' để cấu hình cho các request sau.</t>
  </si>
  <si>
    <t>4. Xem thông tin cá nhân (Profile)</t>
  </si>
  <si>
    <t>Authorization: Bearer &lt;access_token&gt;</t>
  </si>
  <si>
    <t>None (No Body)</t>
  </si>
  <si>
    <t>Kiểm tra token hợp lệ và thông tin người dùng đang đăng nhập.</t>
  </si>
  <si>
    <t>5. Danh sách người dùng (Admin only)</t>
  </si>
  <si>
    <t>Authorization: Bearer &lt;admin_token&gt;</t>
  </si>
  <si>
    <t>Query Params:
?search=ptit&amp;is_active=true</t>
  </si>
  <si>
    <t>Endpoint dành riêng cho ADMIN. Nếu dùng token thường sẽ trả về 403 Forbidden.</t>
  </si>
  <si>
    <t>6. Tạo đề tài nghiên cứu (Create Project)</t>
  </si>
  <si>
    <t>Authorization: Bearer &lt;access_token&gt;
Content-Type: application/json</t>
  </si>
  <si>
    <t>{
  "name": "Nghiên cứu Hệ Thống Phòng Thủ SOC/SIEM",
  "description": "Xây dựng giải pháp giám sát an ninh mạng sử dụng AI"
}</t>
  </si>
  <si>
    <t>Người tạo tự động trở thành OWNER của đề tài.</t>
  </si>
  <si>
    <t>7. Lấy danh sách đề tài (Get Projects)</t>
  </si>
  <si>
    <t>Query Params (tùy chọn):
?search=SOC</t>
  </si>
  <si>
    <t>Trả về các đề tài mà user là OWNER hoặc là MEMBER.</t>
  </si>
  <si>
    <t>8. Xem chi tiết đề tài (Get Project By ID)</t>
  </si>
  <si>
    <t>Path Param: id=1</t>
  </si>
  <si>
    <t>Chỉ OWNER hoặc MEMBER của đề tài mới có quyền xem.</t>
  </si>
  <si>
    <t>9. Cập nhật đề tài (Update Project)</t>
  </si>
  <si>
    <t>{
  "name": "Nghiên cứu Hệ Thống Phòng Thủ SOC/SIEM 2026",
  "description": "Cập nhật tài liệu mới"
}</t>
  </si>
  <si>
    <t>Chỉ OWNER của đề tài mới có quyền cập nhật.</t>
  </si>
  <si>
    <t>10. Thêm thành viên vào đề tài</t>
  </si>
  <si>
    <t>{
  "user_id": 2,
  "role": "MEMBER"
}</t>
  </si>
  <si>
    <t>Chỉ OWNER mới có quyền thêm thành viên. Không được thêm trùng hoặc thêm lại OWNER.</t>
  </si>
  <si>
    <t>11. Xem danh sách thành viên đề tài</t>
  </si>
  <si>
    <t>Trả về danh sách tất cả thành viên trong đề tài.</t>
  </si>
  <si>
    <t>12. Xóa thành viên khỏi đề tài</t>
  </si>
  <si>
    <t>Path Params: id=1, user_id=2</t>
  </si>
  <si>
    <t>Chỉ OWNER được xóa thành viên. Không được tự xóa chính OWNER.</t>
  </si>
  <si>
    <t>13. Tạo nhiệm vụ nghiên cứu (Create Task)</t>
  </si>
  <si>
    <t>{
  "title": "Cài đặt môi trường Lab Splunk",
  "description": "Dựng cụm máy chủ lab thử nghiệm",
  "status": "TODO",
  "priority": "HIGH",
  "assignee_id": 2,
  "due_date": "2026-12-31T23:59:59"
}</t>
  </si>
  <si>
    <t>Chỉ thành viên đề tài mới được tạo task. Assignee bắt buộc phải thuộc đề tài.</t>
  </si>
  <si>
    <t>14. Danh sách nhiệm vụ có lọc &amp; phân trang</t>
  </si>
  <si>
    <t>Query Params:
?status=TODO&amp;priority=HIGH&amp;limit=10&amp;offset=0&amp;sort_by=created_at&amp;order=desc</t>
  </si>
  <si>
    <t>Lọc theo status (TODO/IN_PROGRESS/DONE), priority (LOW/MEDIUM/HIGH), sắp xếp và phân trang.</t>
  </si>
  <si>
    <t>15. Xem chi tiết nhiệm vụ (Get Task By ID)</t>
  </si>
  <si>
    <t>Chỉ thành viên thuộc đề tài chứa nhiệm vụ mới được xem.</t>
  </si>
  <si>
    <t>16. Cập nhật trạng thái nhiệm vụ (Assignee)</t>
  </si>
  <si>
    <t>Authorization: Bearer &lt;assignee_token&gt;
Content-Type: application/json</t>
  </si>
  <si>
    <t>{
  "status": "IN_PROGRESS"
}</t>
  </si>
  <si>
    <t>Assignee chỉ có quyền cập nhật trường status. Nếu gửi kèm title/priority sẽ bị 403.</t>
  </si>
  <si>
    <t>17. Cập nhật toàn bộ nhiệm vụ (Owner)</t>
  </si>
  <si>
    <t>Authorization: Bearer &lt;owner_token&gt;
Content-Type: application/json</t>
  </si>
  <si>
    <t>{
  "title": "Cài đặt môi trường Lab Splunk V2",
  "priority": "MEDIUM",
  "status": "DONE"
}</t>
  </si>
  <si>
    <t>Owner của đề tài có toàn quyền sửa tất cả các trường thông tin của task.</t>
  </si>
  <si>
    <t>18. Xóa nhiệm vụ (Delete Task)</t>
  </si>
  <si>
    <t>Authorization: Bearer &lt;owner_token&gt;</t>
  </si>
  <si>
    <t>Chỉ OWNER của đề tài mới có quyền xóa task. Thành viên thường bị 403.</t>
  </si>
  <si>
    <t>19. Xóa đề tài nghiên cứu (Delete Project)</t>
  </si>
  <si>
    <t>Chỉ OWNER của đề tài mới có quyền xóa toàn bộ đề tài.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</si>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</sst>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6"/>
      <color rgb="FF1B365D"/>
      <name val="Segoe UI"/>
    </font>
    <font>
      <i/>
      <sz val="10"/>
      <color rgb="FF4B5563"/>
      <name val="Segoe UI"/>
    </font>
    <font>
      <b/>
      <sz val="9"/>
      <color rgb="FF334E68"/>
      <name val="Segoe UI"/>
    </font>
    <font>
      <b/>
      <sz val="14"/>
      <color rgb="FF1B365D"/>
      <name val="Segoe UI"/>
    </font>
    <font>
      <b/>
      <sz val="11"/>
      <color rgb="FF1E293B"/>
      <name val="Segoe UI"/>
    </font>
    <font>
      <b/>
      <sz val="10"/>
      <color rgb="FF1E293B"/>
      <name val="Segoe UI"/>
    </font>
    <font>
      <sz val="9"/>
      <color rgb="FF1F2937"/>
      <name val="Segoe UI"/>
    </font>
    <font>
      <b/>
      <sz val="10"/>
      <color rgb="FFFFFFFF"/>
      <name val="Segoe UI"/>
    </font>
    <font>
      <sz val="9"/>
      <color rgb="FF0F172A"/>
      <name val="Consolas"/>
    </font>
  </fonts>
  <fills count="12">
    <fill>
      <patternFill patternType="none"/>
    </fill>
    <fill>
      <patternFill patternType="gray125"/>
    </fill>
    <fill>
      <patternFill patternType="solid">
        <fgColor rgb="FFB4D5E6"/>
        <bgColor rgb="FFB4D5E6"/>
      </patternFill>
    </fill>
    <fill>
      <patternFill patternType="solid">
        <fgColor rgb="FFD1FAE5"/>
        <bgColor rgb="FFD1FAE5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rgb="FFE0E7FF"/>
        <bgColor rgb="FFE0E7FF"/>
      </patternFill>
    </fill>
    <fill>
      <patternFill patternType="solid">
        <fgColor rgb="FFE2E8F0"/>
        <bgColor rgb="FFE2E8F0"/>
      </patternFill>
    </fill>
    <fill>
      <patternFill patternType="solid">
        <fgColor rgb="FF334E68"/>
        <bgColor rgb="FF334E68"/>
      </patternFill>
    </fill>
    <fill>
      <patternFill patternType="solid">
        <fgColor rgb="FF1B365D"/>
        <bgColor rgb="FF1B365D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B365D"/>
      </bottom>
      <diagonal/>
    </border>
    <border>
      <left/>
      <right/>
      <top style="thin">
        <color rgb="FFCBD5E1"/>
      </top>
      <bottom style="medium">
        <color rgb="FF1B365D"/>
      </bottom>
      <diagonal/>
    </border>
    <border>
      <left/>
      <right style="thin">
        <color rgb="FFCBD5E1"/>
      </right>
      <top style="thin">
        <color rgb="FFCBD5E1"/>
      </top>
      <bottom style="medium">
        <color rgb="FF1B365D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1" xfId="0" applyFont="1" applyBorder="1"/>
    <xf numFmtId="0" fontId="8" fillId="8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/>
    <xf numFmtId="0" fontId="0" fillId="0" borderId="1" xfId="0" applyBorder="1"/>
    <xf numFmtId="0" fontId="3" fillId="6" borderId="1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5" fillId="7" borderId="0" xfId="0" applyFont="1" applyFill="1"/>
    <xf numFmtId="0" fontId="0" fillId="0" borderId="0" xfId="0"/>
    <xf numFmtId="3" fontId="4" fillId="4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sz val="9"/>
        <color rgb="FF374151"/>
        <name val="Segoe UI"/>
      </font>
      <fill>
        <patternFill patternType="solid">
          <fgColor rgb="FFE5E7EB"/>
          <bgColor rgb="FFE5E7EB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065F46"/>
        <name val="Segoe UI"/>
      </font>
      <fill>
        <patternFill patternType="solid">
          <fgColor rgb="FFD1FAE5"/>
          <bgColor rgb="FFD1FAE5"/>
        </patternFill>
      </fill>
    </dxf>
    <dxf>
      <font>
        <b/>
        <sz val="9"/>
        <color rgb="FF374151"/>
        <name val="Segoe UI"/>
      </font>
      <fill>
        <patternFill patternType="solid">
          <fgColor rgb="FFE5E7EB"/>
          <bgColor rgb="FFE5E7EB"/>
        </patternFill>
      </fill>
    </dxf>
    <dxf>
      <font>
        <b/>
        <sz val="9"/>
        <color rgb="FF92400E"/>
        <name val="Segoe UI"/>
      </font>
      <fill>
        <patternFill patternType="solid">
          <fgColor rgb="FFFEF3C7"/>
          <bgColor rgb="FFFEF3C7"/>
        </patternFill>
      </fill>
    </dxf>
    <dxf>
      <font>
        <b/>
        <sz val="9"/>
        <color rgb="FF991B1B"/>
        <name val="Segoe UI"/>
      </font>
      <fill>
        <patternFill patternType="solid">
          <fgColor rgb="FFFEE2E2"/>
          <bgColor rgb="FFFEE2E2"/>
        </patternFill>
      </fill>
    </dxf>
    <dxf>
      <font>
        <b/>
        <sz val="9"/>
        <color rgb="FF065F46"/>
        <name val="Segoe UI"/>
      </font>
      <fill>
        <patternFill patternType="solid">
          <fgColor rgb="FFD1FAE5"/>
          <b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1"/>
  <sheetViews>
    <sheetView tabSelected="1" workbookViewId="0">
      <selection activeCell="C14" sqref="C14:K14"/>
    </sheetView>
  </sheetViews>
  <sheetFormatPr defaultRowHeight="15" x14ac:dyDescent="0.25"/>
  <cols>
    <col min="2" max="2" width="21.7109375" customWidth="1"/>
    <col min="3" max="3" width="18.7109375" customWidth="1"/>
    <col min="4" max="4" width="17.5703125" customWidth="1"/>
    <col min="5" max="5" width="19.85546875" customWidth="1"/>
    <col min="7" max="7" width="17.5703125" customWidth="1"/>
    <col min="8" max="8" width="40.140625" customWidth="1"/>
    <col min="9" max="9" width="18.28515625" customWidth="1"/>
    <col min="11" max="11" width="17" customWidth="1"/>
  </cols>
  <sheetData>
    <row r="2" spans="2:11" ht="25.5" x14ac:dyDescent="0.5">
      <c r="B2" s="1" t="s">
        <v>0</v>
      </c>
    </row>
    <row r="3" spans="2:11" x14ac:dyDescent="0.25">
      <c r="B3" s="2" t="s">
        <v>1</v>
      </c>
    </row>
    <row r="5" spans="2:11" x14ac:dyDescent="0.25">
      <c r="B5" s="32" t="s">
        <v>2</v>
      </c>
      <c r="C5" s="19"/>
      <c r="D5" s="33" t="s">
        <v>3</v>
      </c>
      <c r="E5" s="19"/>
      <c r="F5" s="30" t="s">
        <v>4</v>
      </c>
      <c r="G5" s="19"/>
      <c r="H5" s="34" t="s">
        <v>5</v>
      </c>
      <c r="I5" s="19"/>
      <c r="J5" s="20" t="s">
        <v>6</v>
      </c>
      <c r="K5" s="19"/>
    </row>
    <row r="6" spans="2:11" ht="20.25" x14ac:dyDescent="0.25">
      <c r="B6" s="31">
        <f>COUNTA('API Test Checklist'!B5:B56) + COUNTA('Cybersecurity Test Matrix'!B5:B20)</f>
        <v>64</v>
      </c>
      <c r="C6" s="19"/>
      <c r="D6" s="27">
        <f>COUNTIF('API Test Checklist'!I4:I60, "PASS") + COUNTIF('Cybersecurity Test Matrix'!H4:H20, "PASS")</f>
        <v>60</v>
      </c>
      <c r="E6" s="19"/>
      <c r="F6" s="26">
        <f>COUNTIF('API Test Checklist'!I4:I60, "FAIL") + COUNTIF('Cybersecurity Test Matrix'!H4:H20, "FAIL")</f>
        <v>4</v>
      </c>
      <c r="G6" s="19"/>
      <c r="H6" s="28">
        <f>COUNTIF('API Test Checklist'!I4:I60, "PENDING") + COUNTIF('Cybersecurity Test Matrix'!I4:I20, "PENDING")</f>
        <v>0</v>
      </c>
      <c r="I6" s="19"/>
      <c r="J6" s="29">
        <f>IF(B6&gt;0, D6/B6, 0)</f>
        <v>0.9375</v>
      </c>
      <c r="K6" s="19"/>
    </row>
    <row r="9" spans="2:11" ht="16.5" x14ac:dyDescent="0.3">
      <c r="B9" s="24" t="s">
        <v>7</v>
      </c>
      <c r="C9" s="25"/>
      <c r="D9" s="25"/>
      <c r="E9" s="25"/>
      <c r="F9" s="25"/>
      <c r="G9" s="25"/>
      <c r="H9" s="25"/>
      <c r="I9" s="25"/>
      <c r="J9" s="25"/>
      <c r="K9" s="25"/>
    </row>
    <row r="10" spans="2:11" x14ac:dyDescent="0.25">
      <c r="B10" s="3" t="s">
        <v>8</v>
      </c>
      <c r="C10" s="18" t="s">
        <v>9</v>
      </c>
      <c r="D10" s="19"/>
      <c r="E10" s="19"/>
      <c r="F10" s="19"/>
      <c r="G10" s="19"/>
      <c r="H10" s="19"/>
      <c r="I10" s="19"/>
      <c r="J10" s="19"/>
      <c r="K10" s="19"/>
    </row>
    <row r="11" spans="2:11" x14ac:dyDescent="0.25">
      <c r="B11" s="3" t="s">
        <v>10</v>
      </c>
      <c r="C11" s="18" t="s">
        <v>11</v>
      </c>
      <c r="D11" s="19"/>
      <c r="E11" s="19"/>
      <c r="F11" s="19"/>
      <c r="G11" s="19"/>
      <c r="H11" s="19"/>
      <c r="I11" s="19"/>
      <c r="J11" s="19"/>
      <c r="K11" s="19"/>
    </row>
    <row r="12" spans="2:11" x14ac:dyDescent="0.25">
      <c r="B12" s="3" t="s">
        <v>12</v>
      </c>
      <c r="C12" s="18" t="s">
        <v>13</v>
      </c>
      <c r="D12" s="19"/>
      <c r="E12" s="19"/>
      <c r="F12" s="19"/>
      <c r="G12" s="19"/>
      <c r="H12" s="19"/>
      <c r="I12" s="19"/>
      <c r="J12" s="19"/>
      <c r="K12" s="19"/>
    </row>
    <row r="13" spans="2:11" x14ac:dyDescent="0.25">
      <c r="B13" s="3" t="s">
        <v>14</v>
      </c>
      <c r="C13" s="18" t="s">
        <v>15</v>
      </c>
      <c r="D13" s="19"/>
      <c r="E13" s="19"/>
      <c r="F13" s="19"/>
      <c r="G13" s="19"/>
      <c r="H13" s="19"/>
      <c r="I13" s="19"/>
      <c r="J13" s="19"/>
      <c r="K13" s="19"/>
    </row>
    <row r="14" spans="2:11" x14ac:dyDescent="0.25">
      <c r="B14" s="3" t="s">
        <v>16</v>
      </c>
      <c r="C14" s="18" t="s">
        <v>17</v>
      </c>
      <c r="D14" s="19"/>
      <c r="E14" s="19"/>
      <c r="F14" s="19"/>
      <c r="G14" s="19"/>
      <c r="H14" s="19"/>
      <c r="I14" s="19"/>
      <c r="J14" s="19"/>
      <c r="K14" s="19"/>
    </row>
    <row r="15" spans="2:11" x14ac:dyDescent="0.25">
      <c r="B15" s="3" t="s">
        <v>18</v>
      </c>
      <c r="C15" s="18" t="s">
        <v>19</v>
      </c>
      <c r="D15" s="19"/>
      <c r="E15" s="19"/>
      <c r="F15" s="19"/>
      <c r="G15" s="19"/>
      <c r="H15" s="19"/>
      <c r="I15" s="19"/>
      <c r="J15" s="19"/>
      <c r="K15" s="19"/>
    </row>
    <row r="17" spans="2:11" ht="16.5" x14ac:dyDescent="0.3">
      <c r="B17" s="24" t="s">
        <v>20</v>
      </c>
      <c r="C17" s="25"/>
      <c r="D17" s="25"/>
      <c r="E17" s="25"/>
      <c r="F17" s="25"/>
      <c r="G17" s="25"/>
      <c r="H17" s="25"/>
      <c r="I17" s="25"/>
      <c r="J17" s="25"/>
      <c r="K17" s="25"/>
    </row>
    <row r="18" spans="2:11" x14ac:dyDescent="0.25">
      <c r="B18" s="4" t="s">
        <v>21</v>
      </c>
      <c r="C18" s="4" t="s">
        <v>22</v>
      </c>
      <c r="D18" s="4" t="s">
        <v>23</v>
      </c>
      <c r="E18" s="4" t="s">
        <v>24</v>
      </c>
      <c r="F18" s="21" t="s">
        <v>25</v>
      </c>
      <c r="G18" s="22"/>
      <c r="H18" s="23"/>
      <c r="I18" s="25"/>
      <c r="J18" s="25"/>
      <c r="K18" s="25"/>
    </row>
    <row r="19" spans="2:11" x14ac:dyDescent="0.25">
      <c r="B19" s="5">
        <v>1</v>
      </c>
      <c r="C19" s="5" t="s">
        <v>26</v>
      </c>
      <c r="D19" s="6" t="s">
        <v>27</v>
      </c>
      <c r="E19" s="6" t="s">
        <v>28</v>
      </c>
      <c r="F19" s="17" t="s">
        <v>29</v>
      </c>
      <c r="G19" s="18"/>
      <c r="H19" s="18"/>
      <c r="I19" s="17" t="s">
        <v>30</v>
      </c>
      <c r="J19" s="18"/>
      <c r="K19" s="18"/>
    </row>
    <row r="20" spans="2:11" x14ac:dyDescent="0.25">
      <c r="B20" s="5">
        <v>2</v>
      </c>
      <c r="C20" s="5" t="s">
        <v>31</v>
      </c>
      <c r="D20" s="6" t="s">
        <v>32</v>
      </c>
      <c r="E20" s="6" t="s">
        <v>33</v>
      </c>
      <c r="F20" s="17" t="s">
        <v>34</v>
      </c>
      <c r="G20" s="18"/>
      <c r="H20" s="18"/>
      <c r="I20" s="17" t="s">
        <v>35</v>
      </c>
      <c r="J20" s="18"/>
      <c r="K20" s="18"/>
    </row>
    <row r="21" spans="2:11" x14ac:dyDescent="0.25">
      <c r="B21" s="5">
        <v>3</v>
      </c>
      <c r="C21" s="5" t="s">
        <v>36</v>
      </c>
      <c r="D21" s="6" t="s">
        <v>37</v>
      </c>
      <c r="E21" s="6" t="s">
        <v>38</v>
      </c>
      <c r="F21" s="17" t="s">
        <v>39</v>
      </c>
      <c r="G21" s="18"/>
      <c r="H21" s="18"/>
      <c r="I21" s="17" t="s">
        <v>40</v>
      </c>
      <c r="J21" s="18"/>
      <c r="K21" s="18"/>
    </row>
    <row r="22" spans="2:11" x14ac:dyDescent="0.25">
      <c r="B22" s="5">
        <v>4</v>
      </c>
      <c r="C22" s="5" t="s">
        <v>41</v>
      </c>
      <c r="D22" s="6" t="s">
        <v>42</v>
      </c>
      <c r="E22" s="6" t="s">
        <v>43</v>
      </c>
      <c r="F22" s="17" t="s">
        <v>44</v>
      </c>
      <c r="G22" s="18"/>
      <c r="H22" s="18"/>
      <c r="I22" s="17" t="s">
        <v>45</v>
      </c>
      <c r="J22" s="18"/>
      <c r="K22" s="18"/>
    </row>
    <row r="23" spans="2:11" x14ac:dyDescent="0.25">
      <c r="B23" s="5">
        <v>5</v>
      </c>
      <c r="C23" s="5" t="s">
        <v>46</v>
      </c>
      <c r="D23" s="6" t="s">
        <v>47</v>
      </c>
      <c r="E23" s="6" t="s">
        <v>48</v>
      </c>
      <c r="F23" s="17" t="s">
        <v>49</v>
      </c>
      <c r="G23" s="18"/>
      <c r="H23" s="18"/>
      <c r="I23" s="17" t="s">
        <v>50</v>
      </c>
      <c r="J23" s="18"/>
      <c r="K23" s="18"/>
    </row>
    <row r="25" spans="2:11" ht="16.5" x14ac:dyDescent="0.3">
      <c r="B25" s="24" t="s">
        <v>51</v>
      </c>
      <c r="C25" s="25"/>
      <c r="D25" s="25"/>
      <c r="E25" s="25"/>
      <c r="F25" s="25"/>
      <c r="G25" s="25"/>
      <c r="H25" s="25"/>
      <c r="I25" s="25"/>
      <c r="J25" s="25"/>
      <c r="K25" s="25"/>
    </row>
    <row r="26" spans="2:11" x14ac:dyDescent="0.25">
      <c r="B26" s="7" t="s">
        <v>52</v>
      </c>
      <c r="C26" s="17" t="s">
        <v>53</v>
      </c>
      <c r="D26" s="19"/>
      <c r="E26" s="19"/>
      <c r="F26" s="19"/>
      <c r="G26" s="19"/>
      <c r="H26" s="19"/>
      <c r="I26" s="19"/>
      <c r="J26" s="19"/>
      <c r="K26" s="19"/>
    </row>
    <row r="27" spans="2:11" x14ac:dyDescent="0.25">
      <c r="B27" s="7" t="s">
        <v>54</v>
      </c>
      <c r="C27" s="17" t="s">
        <v>55</v>
      </c>
      <c r="D27" s="19"/>
      <c r="E27" s="19"/>
      <c r="F27" s="19"/>
      <c r="G27" s="19"/>
      <c r="H27" s="19"/>
      <c r="I27" s="19"/>
      <c r="J27" s="19"/>
      <c r="K27" s="19"/>
    </row>
    <row r="28" spans="2:11" x14ac:dyDescent="0.25">
      <c r="B28" s="7" t="s">
        <v>56</v>
      </c>
      <c r="C28" s="17" t="s">
        <v>57</v>
      </c>
      <c r="D28" s="19"/>
      <c r="E28" s="19"/>
      <c r="F28" s="19"/>
      <c r="G28" s="19"/>
      <c r="H28" s="19"/>
      <c r="I28" s="19"/>
      <c r="J28" s="19"/>
      <c r="K28" s="19"/>
    </row>
    <row r="29" spans="2:11" x14ac:dyDescent="0.25">
      <c r="B29" s="7" t="s">
        <v>58</v>
      </c>
      <c r="C29" s="17" t="s">
        <v>59</v>
      </c>
      <c r="D29" s="19"/>
      <c r="E29" s="19"/>
      <c r="F29" s="19"/>
      <c r="G29" s="19"/>
      <c r="H29" s="19"/>
      <c r="I29" s="19"/>
      <c r="J29" s="19"/>
      <c r="K29" s="19"/>
    </row>
    <row r="30" spans="2:11" x14ac:dyDescent="0.25">
      <c r="B30" s="7" t="s">
        <v>60</v>
      </c>
      <c r="C30" s="17" t="s">
        <v>61</v>
      </c>
      <c r="D30" s="19"/>
      <c r="E30" s="19"/>
      <c r="F30" s="19"/>
      <c r="G30" s="19"/>
      <c r="H30" s="19"/>
      <c r="I30" s="19"/>
      <c r="J30" s="19"/>
      <c r="K30" s="19"/>
    </row>
    <row r="31" spans="2:11" x14ac:dyDescent="0.25">
      <c r="B31" s="7" t="s">
        <v>62</v>
      </c>
      <c r="C31" s="17" t="s">
        <v>63</v>
      </c>
      <c r="D31" s="19"/>
      <c r="E31" s="19"/>
      <c r="F31" s="19"/>
      <c r="G31" s="19"/>
      <c r="H31" s="19"/>
      <c r="I31" s="19"/>
      <c r="J31" s="19"/>
      <c r="K31" s="19"/>
    </row>
  </sheetData>
  <mergeCells count="37">
    <mergeCell ref="D5:E5"/>
    <mergeCell ref="H5:I5"/>
    <mergeCell ref="C26:K26"/>
    <mergeCell ref="F21:H21"/>
    <mergeCell ref="C29:K29"/>
    <mergeCell ref="C31:K31"/>
    <mergeCell ref="I18:K18"/>
    <mergeCell ref="I21:K21"/>
    <mergeCell ref="C12:K12"/>
    <mergeCell ref="F23:H23"/>
    <mergeCell ref="F22:H22"/>
    <mergeCell ref="C27:K27"/>
    <mergeCell ref="I23:K23"/>
    <mergeCell ref="B25:K25"/>
    <mergeCell ref="I20:K20"/>
    <mergeCell ref="I19:K19"/>
    <mergeCell ref="C28:K28"/>
    <mergeCell ref="C13:K13"/>
    <mergeCell ref="C30:K30"/>
    <mergeCell ref="C15:K15"/>
    <mergeCell ref="F19:H19"/>
    <mergeCell ref="F20:H20"/>
    <mergeCell ref="C10:K10"/>
    <mergeCell ref="J5:K5"/>
    <mergeCell ref="F18:H18"/>
    <mergeCell ref="I22:K22"/>
    <mergeCell ref="B9:K9"/>
    <mergeCell ref="F6:G6"/>
    <mergeCell ref="D6:E6"/>
    <mergeCell ref="C11:K11"/>
    <mergeCell ref="H6:I6"/>
    <mergeCell ref="J6:K6"/>
    <mergeCell ref="F5:G5"/>
    <mergeCell ref="B6:C6"/>
    <mergeCell ref="B17:K17"/>
    <mergeCell ref="B5:C5"/>
    <mergeCell ref="C14:K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6"/>
  <sheetViews>
    <sheetView topLeftCell="A44" workbookViewId="0">
      <selection activeCell="B5" sqref="B5"/>
    </sheetView>
  </sheetViews>
  <sheetFormatPr defaultRowHeight="15" x14ac:dyDescent="0.25"/>
  <cols>
    <col min="1" max="1" width="6" customWidth="1"/>
    <col min="2" max="2" width="15" customWidth="1"/>
    <col min="3" max="3" width="12" customWidth="1"/>
    <col min="4" max="4" width="30" customWidth="1"/>
    <col min="5" max="5" width="22" customWidth="1"/>
    <col min="6" max="6" width="38" customWidth="1"/>
    <col min="7" max="8" width="42" customWidth="1"/>
    <col min="9" max="9" width="15" customWidth="1"/>
    <col min="10" max="10" width="28" customWidth="1"/>
  </cols>
  <sheetData>
    <row r="1" spans="1:10" ht="25.5" x14ac:dyDescent="0.5">
      <c r="A1" s="1" t="s">
        <v>64</v>
      </c>
    </row>
    <row r="2" spans="1:10" x14ac:dyDescent="0.25">
      <c r="A2" s="2" t="s">
        <v>65</v>
      </c>
    </row>
    <row r="4" spans="1:10" ht="27.95" customHeight="1" x14ac:dyDescent="0.25">
      <c r="A4" s="8" t="s">
        <v>21</v>
      </c>
      <c r="B4" s="8" t="s">
        <v>66</v>
      </c>
      <c r="C4" s="8" t="s">
        <v>67</v>
      </c>
      <c r="D4" s="8" t="s">
        <v>68</v>
      </c>
      <c r="E4" s="8" t="s">
        <v>69</v>
      </c>
      <c r="F4" s="8" t="s">
        <v>70</v>
      </c>
      <c r="G4" s="8" t="s">
        <v>71</v>
      </c>
      <c r="H4" s="8" t="s">
        <v>72</v>
      </c>
      <c r="I4" s="8" t="s">
        <v>73</v>
      </c>
      <c r="J4" s="8" t="s">
        <v>74</v>
      </c>
    </row>
    <row r="5" spans="1:10" ht="54.95" customHeight="1" x14ac:dyDescent="0.25">
      <c r="A5" s="9">
        <v>1</v>
      </c>
      <c r="B5" s="10" t="s">
        <v>75</v>
      </c>
      <c r="C5" s="9" t="s">
        <v>76</v>
      </c>
      <c r="D5" s="11" t="s">
        <v>77</v>
      </c>
      <c r="E5" s="9" t="s">
        <v>78</v>
      </c>
      <c r="F5" s="12" t="s">
        <v>79</v>
      </c>
      <c r="G5" s="11" t="s">
        <v>80</v>
      </c>
      <c r="H5" s="12" t="s">
        <v>81</v>
      </c>
      <c r="I5" s="9" t="s">
        <v>435</v>
      </c>
      <c r="J5" s="12"/>
    </row>
    <row r="6" spans="1:10" ht="54.95" customHeight="1" x14ac:dyDescent="0.25">
      <c r="A6" s="13">
        <v>2</v>
      </c>
      <c r="B6" s="14" t="s">
        <v>82</v>
      </c>
      <c r="C6" s="13" t="s">
        <v>76</v>
      </c>
      <c r="D6" s="15" t="s">
        <v>77</v>
      </c>
      <c r="E6" s="13" t="s">
        <v>83</v>
      </c>
      <c r="F6" s="16" t="s">
        <v>84</v>
      </c>
      <c r="G6" s="15" t="s">
        <v>85</v>
      </c>
      <c r="H6" s="16" t="s">
        <v>86</v>
      </c>
      <c r="I6" s="13" t="s">
        <v>435</v>
      </c>
      <c r="J6" s="16"/>
    </row>
    <row r="7" spans="1:10" ht="54.95" customHeight="1" x14ac:dyDescent="0.25">
      <c r="A7" s="9">
        <v>3</v>
      </c>
      <c r="B7" s="10" t="s">
        <v>87</v>
      </c>
      <c r="C7" s="9" t="s">
        <v>76</v>
      </c>
      <c r="D7" s="11" t="s">
        <v>77</v>
      </c>
      <c r="E7" s="9" t="s">
        <v>88</v>
      </c>
      <c r="F7" s="12" t="s">
        <v>89</v>
      </c>
      <c r="G7" s="11" t="s">
        <v>90</v>
      </c>
      <c r="H7" s="12" t="s">
        <v>91</v>
      </c>
      <c r="I7" s="9" t="s">
        <v>435</v>
      </c>
      <c r="J7" s="12"/>
    </row>
    <row r="8" spans="1:10" ht="54.95" customHeight="1" x14ac:dyDescent="0.25">
      <c r="A8" s="13">
        <v>4</v>
      </c>
      <c r="B8" s="14" t="s">
        <v>92</v>
      </c>
      <c r="C8" s="13" t="s">
        <v>76</v>
      </c>
      <c r="D8" s="15" t="s">
        <v>77</v>
      </c>
      <c r="E8" s="13" t="s">
        <v>88</v>
      </c>
      <c r="F8" s="16" t="s">
        <v>93</v>
      </c>
      <c r="G8" s="15" t="s">
        <v>94</v>
      </c>
      <c r="H8" s="16" t="s">
        <v>95</v>
      </c>
      <c r="I8" s="13" t="s">
        <v>436</v>
      </c>
      <c r="J8" s="16"/>
    </row>
    <row r="9" spans="1:10" ht="54.95" customHeight="1" x14ac:dyDescent="0.25">
      <c r="A9" s="9">
        <v>5</v>
      </c>
      <c r="B9" s="10" t="s">
        <v>96</v>
      </c>
      <c r="C9" s="9" t="s">
        <v>76</v>
      </c>
      <c r="D9" s="11" t="s">
        <v>77</v>
      </c>
      <c r="E9" s="9" t="s">
        <v>88</v>
      </c>
      <c r="F9" s="12" t="s">
        <v>97</v>
      </c>
      <c r="G9" s="11" t="s">
        <v>98</v>
      </c>
      <c r="H9" s="12" t="s">
        <v>99</v>
      </c>
      <c r="I9" s="9" t="s">
        <v>435</v>
      </c>
      <c r="J9" s="12"/>
    </row>
    <row r="10" spans="1:10" ht="54.95" customHeight="1" x14ac:dyDescent="0.25">
      <c r="A10" s="13">
        <v>6</v>
      </c>
      <c r="B10" s="14" t="s">
        <v>100</v>
      </c>
      <c r="C10" s="13" t="s">
        <v>76</v>
      </c>
      <c r="D10" s="15" t="s">
        <v>101</v>
      </c>
      <c r="E10" s="13" t="s">
        <v>78</v>
      </c>
      <c r="F10" s="16" t="s">
        <v>102</v>
      </c>
      <c r="G10" s="15" t="s">
        <v>103</v>
      </c>
      <c r="H10" s="16" t="s">
        <v>104</v>
      </c>
      <c r="I10" s="13" t="s">
        <v>435</v>
      </c>
      <c r="J10" s="16"/>
    </row>
    <row r="11" spans="1:10" ht="54.95" customHeight="1" x14ac:dyDescent="0.25">
      <c r="A11" s="9">
        <v>7</v>
      </c>
      <c r="B11" s="10" t="s">
        <v>105</v>
      </c>
      <c r="C11" s="9" t="s">
        <v>76</v>
      </c>
      <c r="D11" s="11" t="s">
        <v>101</v>
      </c>
      <c r="E11" s="9" t="s">
        <v>83</v>
      </c>
      <c r="F11" s="12" t="s">
        <v>106</v>
      </c>
      <c r="G11" s="11" t="s">
        <v>107</v>
      </c>
      <c r="H11" s="12" t="s">
        <v>108</v>
      </c>
      <c r="I11" s="9" t="s">
        <v>435</v>
      </c>
      <c r="J11" s="12"/>
    </row>
    <row r="12" spans="1:10" ht="54.95" customHeight="1" x14ac:dyDescent="0.25">
      <c r="A12" s="13">
        <v>8</v>
      </c>
      <c r="B12" s="14" t="s">
        <v>109</v>
      </c>
      <c r="C12" s="13" t="s">
        <v>76</v>
      </c>
      <c r="D12" s="15" t="s">
        <v>101</v>
      </c>
      <c r="E12" s="13" t="s">
        <v>83</v>
      </c>
      <c r="F12" s="16" t="s">
        <v>110</v>
      </c>
      <c r="G12" s="15" t="s">
        <v>111</v>
      </c>
      <c r="H12" s="16" t="s">
        <v>108</v>
      </c>
      <c r="I12" s="13" t="s">
        <v>435</v>
      </c>
      <c r="J12" s="16"/>
    </row>
    <row r="13" spans="1:10" ht="54.95" customHeight="1" x14ac:dyDescent="0.25">
      <c r="A13" s="9">
        <v>9</v>
      </c>
      <c r="B13" s="10" t="s">
        <v>112</v>
      </c>
      <c r="C13" s="9" t="s">
        <v>76</v>
      </c>
      <c r="D13" s="11" t="s">
        <v>101</v>
      </c>
      <c r="E13" s="9" t="s">
        <v>83</v>
      </c>
      <c r="F13" s="12" t="s">
        <v>113</v>
      </c>
      <c r="G13" s="11" t="s">
        <v>114</v>
      </c>
      <c r="H13" s="12" t="s">
        <v>115</v>
      </c>
      <c r="I13" s="9" t="s">
        <v>435</v>
      </c>
      <c r="J13" s="12"/>
    </row>
    <row r="14" spans="1:10" ht="54.95" customHeight="1" x14ac:dyDescent="0.25">
      <c r="A14" s="13">
        <v>10</v>
      </c>
      <c r="B14" s="14" t="s">
        <v>116</v>
      </c>
      <c r="C14" s="13" t="s">
        <v>76</v>
      </c>
      <c r="D14" s="15" t="s">
        <v>101</v>
      </c>
      <c r="E14" s="13" t="s">
        <v>88</v>
      </c>
      <c r="F14" s="16" t="s">
        <v>117</v>
      </c>
      <c r="G14" s="15" t="s">
        <v>118</v>
      </c>
      <c r="H14" s="16" t="s">
        <v>119</v>
      </c>
      <c r="I14" s="13" t="s">
        <v>435</v>
      </c>
      <c r="J14" s="16"/>
    </row>
    <row r="15" spans="1:10" ht="54.95" customHeight="1" x14ac:dyDescent="0.25">
      <c r="A15" s="9">
        <v>11</v>
      </c>
      <c r="B15" s="10" t="s">
        <v>120</v>
      </c>
      <c r="C15" s="9" t="s">
        <v>121</v>
      </c>
      <c r="D15" s="11" t="s">
        <v>122</v>
      </c>
      <c r="E15" s="9" t="s">
        <v>78</v>
      </c>
      <c r="F15" s="12" t="s">
        <v>123</v>
      </c>
      <c r="G15" s="11" t="s">
        <v>124</v>
      </c>
      <c r="H15" s="12" t="s">
        <v>125</v>
      </c>
      <c r="I15" s="13" t="s">
        <v>435</v>
      </c>
      <c r="J15" s="12"/>
    </row>
    <row r="16" spans="1:10" ht="54.95" customHeight="1" x14ac:dyDescent="0.25">
      <c r="A16" s="13">
        <v>12</v>
      </c>
      <c r="B16" s="14" t="s">
        <v>126</v>
      </c>
      <c r="C16" s="13" t="s">
        <v>121</v>
      </c>
      <c r="D16" s="15" t="s">
        <v>122</v>
      </c>
      <c r="E16" s="13" t="s">
        <v>83</v>
      </c>
      <c r="F16" s="16" t="s">
        <v>127</v>
      </c>
      <c r="G16" s="15" t="s">
        <v>128</v>
      </c>
      <c r="H16" s="16" t="s">
        <v>129</v>
      </c>
      <c r="I16" s="13" t="s">
        <v>435</v>
      </c>
      <c r="J16" s="16"/>
    </row>
    <row r="17" spans="1:10" ht="54.95" customHeight="1" x14ac:dyDescent="0.25">
      <c r="A17" s="9">
        <v>13</v>
      </c>
      <c r="B17" s="10" t="s">
        <v>130</v>
      </c>
      <c r="C17" s="9" t="s">
        <v>121</v>
      </c>
      <c r="D17" s="11" t="s">
        <v>122</v>
      </c>
      <c r="E17" s="9" t="s">
        <v>83</v>
      </c>
      <c r="F17" s="12" t="s">
        <v>131</v>
      </c>
      <c r="G17" s="11" t="s">
        <v>132</v>
      </c>
      <c r="H17" s="12" t="s">
        <v>133</v>
      </c>
      <c r="I17" s="13" t="s">
        <v>435</v>
      </c>
      <c r="J17" s="12"/>
    </row>
    <row r="18" spans="1:10" ht="54.95" customHeight="1" x14ac:dyDescent="0.25">
      <c r="A18" s="13">
        <v>14</v>
      </c>
      <c r="B18" s="14" t="s">
        <v>134</v>
      </c>
      <c r="C18" s="13" t="s">
        <v>121</v>
      </c>
      <c r="D18" s="15" t="s">
        <v>135</v>
      </c>
      <c r="E18" s="13" t="s">
        <v>78</v>
      </c>
      <c r="F18" s="16" t="s">
        <v>136</v>
      </c>
      <c r="G18" s="15" t="s">
        <v>137</v>
      </c>
      <c r="H18" s="16" t="s">
        <v>138</v>
      </c>
      <c r="I18" s="13" t="s">
        <v>435</v>
      </c>
      <c r="J18" s="16"/>
    </row>
    <row r="19" spans="1:10" ht="54.95" customHeight="1" x14ac:dyDescent="0.25">
      <c r="A19" s="9">
        <v>15</v>
      </c>
      <c r="B19" s="10" t="s">
        <v>139</v>
      </c>
      <c r="C19" s="9" t="s">
        <v>121</v>
      </c>
      <c r="D19" s="11" t="s">
        <v>135</v>
      </c>
      <c r="E19" s="9" t="s">
        <v>78</v>
      </c>
      <c r="F19" s="12" t="s">
        <v>140</v>
      </c>
      <c r="G19" s="11" t="s">
        <v>141</v>
      </c>
      <c r="H19" s="12" t="s">
        <v>142</v>
      </c>
      <c r="I19" s="13" t="s">
        <v>435</v>
      </c>
      <c r="J19" s="12"/>
    </row>
    <row r="20" spans="1:10" ht="54.95" customHeight="1" x14ac:dyDescent="0.25">
      <c r="A20" s="13">
        <v>16</v>
      </c>
      <c r="B20" s="14" t="s">
        <v>143</v>
      </c>
      <c r="C20" s="13" t="s">
        <v>121</v>
      </c>
      <c r="D20" s="15" t="s">
        <v>135</v>
      </c>
      <c r="E20" s="13" t="s">
        <v>144</v>
      </c>
      <c r="F20" s="16" t="s">
        <v>145</v>
      </c>
      <c r="G20" s="15" t="s">
        <v>146</v>
      </c>
      <c r="H20" s="16" t="s">
        <v>147</v>
      </c>
      <c r="I20" s="13" t="s">
        <v>435</v>
      </c>
      <c r="J20" s="16"/>
    </row>
    <row r="21" spans="1:10" ht="54.95" customHeight="1" x14ac:dyDescent="0.25">
      <c r="A21" s="9">
        <v>17</v>
      </c>
      <c r="B21" s="10" t="s">
        <v>148</v>
      </c>
      <c r="C21" s="9" t="s">
        <v>149</v>
      </c>
      <c r="D21" s="11" t="s">
        <v>150</v>
      </c>
      <c r="E21" s="9" t="s">
        <v>78</v>
      </c>
      <c r="F21" s="12" t="s">
        <v>151</v>
      </c>
      <c r="G21" s="11" t="s">
        <v>152</v>
      </c>
      <c r="H21" s="12" t="s">
        <v>153</v>
      </c>
      <c r="I21" s="13" t="s">
        <v>435</v>
      </c>
      <c r="J21" s="12"/>
    </row>
    <row r="22" spans="1:10" ht="54.95" customHeight="1" x14ac:dyDescent="0.25">
      <c r="A22" s="13">
        <v>18</v>
      </c>
      <c r="B22" s="14" t="s">
        <v>154</v>
      </c>
      <c r="C22" s="13" t="s">
        <v>149</v>
      </c>
      <c r="D22" s="15" t="s">
        <v>150</v>
      </c>
      <c r="E22" s="13" t="s">
        <v>88</v>
      </c>
      <c r="F22" s="16" t="s">
        <v>155</v>
      </c>
      <c r="G22" s="15" t="s">
        <v>156</v>
      </c>
      <c r="H22" s="16" t="s">
        <v>157</v>
      </c>
      <c r="I22" s="13" t="s">
        <v>435</v>
      </c>
      <c r="J22" s="16"/>
    </row>
    <row r="23" spans="1:10" ht="54.95" customHeight="1" x14ac:dyDescent="0.25">
      <c r="A23" s="9">
        <v>19</v>
      </c>
      <c r="B23" s="10" t="s">
        <v>158</v>
      </c>
      <c r="C23" s="9" t="s">
        <v>149</v>
      </c>
      <c r="D23" s="11" t="s">
        <v>150</v>
      </c>
      <c r="E23" s="9" t="s">
        <v>88</v>
      </c>
      <c r="F23" s="12" t="s">
        <v>159</v>
      </c>
      <c r="G23" s="11" t="s">
        <v>160</v>
      </c>
      <c r="H23" s="12" t="s">
        <v>161</v>
      </c>
      <c r="I23" s="13" t="s">
        <v>435</v>
      </c>
      <c r="J23" s="12"/>
    </row>
    <row r="24" spans="1:10" ht="54.95" customHeight="1" x14ac:dyDescent="0.25">
      <c r="A24" s="13">
        <v>20</v>
      </c>
      <c r="B24" s="14" t="s">
        <v>162</v>
      </c>
      <c r="C24" s="13" t="s">
        <v>149</v>
      </c>
      <c r="D24" s="15" t="s">
        <v>163</v>
      </c>
      <c r="E24" s="13" t="s">
        <v>78</v>
      </c>
      <c r="F24" s="16" t="s">
        <v>164</v>
      </c>
      <c r="G24" s="15" t="s">
        <v>165</v>
      </c>
      <c r="H24" s="16" t="s">
        <v>166</v>
      </c>
      <c r="I24" s="13" t="s">
        <v>435</v>
      </c>
      <c r="J24" s="16"/>
    </row>
    <row r="25" spans="1:10" ht="54.95" customHeight="1" x14ac:dyDescent="0.25">
      <c r="A25" s="9">
        <v>21</v>
      </c>
      <c r="B25" s="10" t="s">
        <v>167</v>
      </c>
      <c r="C25" s="9" t="s">
        <v>149</v>
      </c>
      <c r="D25" s="11" t="s">
        <v>163</v>
      </c>
      <c r="E25" s="9" t="s">
        <v>78</v>
      </c>
      <c r="F25" s="12" t="s">
        <v>168</v>
      </c>
      <c r="G25" s="11" t="s">
        <v>169</v>
      </c>
      <c r="H25" s="12" t="s">
        <v>170</v>
      </c>
      <c r="I25" s="13" t="s">
        <v>435</v>
      </c>
      <c r="J25" s="12"/>
    </row>
    <row r="26" spans="1:10" ht="54.95" customHeight="1" x14ac:dyDescent="0.25">
      <c r="A26" s="13">
        <v>22</v>
      </c>
      <c r="B26" s="14" t="s">
        <v>171</v>
      </c>
      <c r="C26" s="13" t="s">
        <v>149</v>
      </c>
      <c r="D26" s="15" t="s">
        <v>172</v>
      </c>
      <c r="E26" s="13" t="s">
        <v>78</v>
      </c>
      <c r="F26" s="16" t="s">
        <v>173</v>
      </c>
      <c r="G26" s="15" t="s">
        <v>174</v>
      </c>
      <c r="H26" s="16" t="s">
        <v>175</v>
      </c>
      <c r="I26" s="13" t="s">
        <v>435</v>
      </c>
      <c r="J26" s="16"/>
    </row>
    <row r="27" spans="1:10" ht="54.95" customHeight="1" x14ac:dyDescent="0.25">
      <c r="A27" s="9">
        <v>23</v>
      </c>
      <c r="B27" s="10" t="s">
        <v>176</v>
      </c>
      <c r="C27" s="9" t="s">
        <v>149</v>
      </c>
      <c r="D27" s="11" t="s">
        <v>172</v>
      </c>
      <c r="E27" s="9" t="s">
        <v>83</v>
      </c>
      <c r="F27" s="12" t="s">
        <v>177</v>
      </c>
      <c r="G27" s="11" t="s">
        <v>178</v>
      </c>
      <c r="H27" s="12" t="s">
        <v>179</v>
      </c>
      <c r="I27" s="13" t="s">
        <v>435</v>
      </c>
      <c r="J27" s="12"/>
    </row>
    <row r="28" spans="1:10" ht="54.95" customHeight="1" x14ac:dyDescent="0.25">
      <c r="A28" s="13">
        <v>24</v>
      </c>
      <c r="B28" s="14" t="s">
        <v>180</v>
      </c>
      <c r="C28" s="13" t="s">
        <v>149</v>
      </c>
      <c r="D28" s="15" t="s">
        <v>172</v>
      </c>
      <c r="E28" s="13" t="s">
        <v>181</v>
      </c>
      <c r="F28" s="16" t="s">
        <v>182</v>
      </c>
      <c r="G28" s="15" t="s">
        <v>183</v>
      </c>
      <c r="H28" s="16" t="s">
        <v>184</v>
      </c>
      <c r="I28" s="13" t="s">
        <v>435</v>
      </c>
      <c r="J28" s="16"/>
    </row>
    <row r="29" spans="1:10" ht="54.95" customHeight="1" x14ac:dyDescent="0.25">
      <c r="A29" s="9">
        <v>25</v>
      </c>
      <c r="B29" s="10" t="s">
        <v>185</v>
      </c>
      <c r="C29" s="9" t="s">
        <v>149</v>
      </c>
      <c r="D29" s="11" t="s">
        <v>186</v>
      </c>
      <c r="E29" s="9" t="s">
        <v>78</v>
      </c>
      <c r="F29" s="12" t="s">
        <v>187</v>
      </c>
      <c r="G29" s="11" t="s">
        <v>188</v>
      </c>
      <c r="H29" s="12" t="s">
        <v>189</v>
      </c>
      <c r="I29" s="13" t="s">
        <v>435</v>
      </c>
      <c r="J29" s="12"/>
    </row>
    <row r="30" spans="1:10" ht="54.95" customHeight="1" x14ac:dyDescent="0.25">
      <c r="A30" s="13">
        <v>26</v>
      </c>
      <c r="B30" s="14" t="s">
        <v>190</v>
      </c>
      <c r="C30" s="13" t="s">
        <v>149</v>
      </c>
      <c r="D30" s="15" t="s">
        <v>186</v>
      </c>
      <c r="E30" s="13" t="s">
        <v>144</v>
      </c>
      <c r="F30" s="16" t="s">
        <v>191</v>
      </c>
      <c r="G30" s="15" t="s">
        <v>192</v>
      </c>
      <c r="H30" s="16" t="s">
        <v>193</v>
      </c>
      <c r="I30" s="13" t="s">
        <v>435</v>
      </c>
      <c r="J30" s="16"/>
    </row>
    <row r="31" spans="1:10" ht="54.95" customHeight="1" x14ac:dyDescent="0.25">
      <c r="A31" s="9">
        <v>27</v>
      </c>
      <c r="B31" s="10" t="s">
        <v>194</v>
      </c>
      <c r="C31" s="9" t="s">
        <v>149</v>
      </c>
      <c r="D31" s="11" t="s">
        <v>186</v>
      </c>
      <c r="E31" s="9" t="s">
        <v>83</v>
      </c>
      <c r="F31" s="12" t="s">
        <v>195</v>
      </c>
      <c r="G31" s="11" t="s">
        <v>196</v>
      </c>
      <c r="H31" s="12" t="s">
        <v>179</v>
      </c>
      <c r="I31" s="13" t="s">
        <v>435</v>
      </c>
      <c r="J31" s="12"/>
    </row>
    <row r="32" spans="1:10" ht="54.95" customHeight="1" x14ac:dyDescent="0.25">
      <c r="A32" s="13">
        <v>28</v>
      </c>
      <c r="B32" s="14" t="s">
        <v>197</v>
      </c>
      <c r="C32" s="13" t="s">
        <v>149</v>
      </c>
      <c r="D32" s="15" t="s">
        <v>198</v>
      </c>
      <c r="E32" s="13" t="s">
        <v>144</v>
      </c>
      <c r="F32" s="16" t="s">
        <v>199</v>
      </c>
      <c r="G32" s="15" t="s">
        <v>200</v>
      </c>
      <c r="H32" s="16" t="s">
        <v>201</v>
      </c>
      <c r="I32" s="13" t="s">
        <v>435</v>
      </c>
      <c r="J32" s="16"/>
    </row>
    <row r="33" spans="1:10" ht="54.95" customHeight="1" x14ac:dyDescent="0.25">
      <c r="A33" s="9">
        <v>29</v>
      </c>
      <c r="B33" s="10" t="s">
        <v>202</v>
      </c>
      <c r="C33" s="9" t="s">
        <v>149</v>
      </c>
      <c r="D33" s="11" t="s">
        <v>198</v>
      </c>
      <c r="E33" s="9" t="s">
        <v>78</v>
      </c>
      <c r="F33" s="12" t="s">
        <v>203</v>
      </c>
      <c r="G33" s="11" t="s">
        <v>204</v>
      </c>
      <c r="H33" s="12" t="s">
        <v>205</v>
      </c>
      <c r="I33" s="13" t="s">
        <v>435</v>
      </c>
      <c r="J33" s="12"/>
    </row>
    <row r="34" spans="1:10" ht="54.95" customHeight="1" x14ac:dyDescent="0.25">
      <c r="A34" s="13">
        <v>30</v>
      </c>
      <c r="B34" s="14" t="s">
        <v>206</v>
      </c>
      <c r="C34" s="13" t="s">
        <v>207</v>
      </c>
      <c r="D34" s="15" t="s">
        <v>208</v>
      </c>
      <c r="E34" s="13" t="s">
        <v>78</v>
      </c>
      <c r="F34" s="16" t="s">
        <v>209</v>
      </c>
      <c r="G34" s="15" t="s">
        <v>210</v>
      </c>
      <c r="H34" s="16" t="s">
        <v>211</v>
      </c>
      <c r="I34" s="13" t="s">
        <v>436</v>
      </c>
      <c r="J34" s="16"/>
    </row>
    <row r="35" spans="1:10" ht="54.95" customHeight="1" x14ac:dyDescent="0.25">
      <c r="A35" s="9">
        <v>31</v>
      </c>
      <c r="B35" s="10" t="s">
        <v>212</v>
      </c>
      <c r="C35" s="9" t="s">
        <v>207</v>
      </c>
      <c r="D35" s="11" t="s">
        <v>208</v>
      </c>
      <c r="E35" s="9" t="s">
        <v>144</v>
      </c>
      <c r="F35" s="12" t="s">
        <v>213</v>
      </c>
      <c r="G35" s="11" t="s">
        <v>214</v>
      </c>
      <c r="H35" s="12" t="s">
        <v>215</v>
      </c>
      <c r="I35" s="13" t="s">
        <v>435</v>
      </c>
      <c r="J35" s="12"/>
    </row>
    <row r="36" spans="1:10" ht="54.95" customHeight="1" x14ac:dyDescent="0.25">
      <c r="A36" s="13">
        <v>32</v>
      </c>
      <c r="B36" s="14" t="s">
        <v>216</v>
      </c>
      <c r="C36" s="13" t="s">
        <v>207</v>
      </c>
      <c r="D36" s="15" t="s">
        <v>208</v>
      </c>
      <c r="E36" s="13" t="s">
        <v>83</v>
      </c>
      <c r="F36" s="16" t="s">
        <v>217</v>
      </c>
      <c r="G36" s="15" t="s">
        <v>218</v>
      </c>
      <c r="H36" s="16" t="s">
        <v>219</v>
      </c>
      <c r="I36" s="13" t="s">
        <v>435</v>
      </c>
      <c r="J36" s="16"/>
    </row>
    <row r="37" spans="1:10" ht="54.95" customHeight="1" x14ac:dyDescent="0.25">
      <c r="A37" s="9">
        <v>33</v>
      </c>
      <c r="B37" s="10" t="s">
        <v>220</v>
      </c>
      <c r="C37" s="9" t="s">
        <v>207</v>
      </c>
      <c r="D37" s="11" t="s">
        <v>208</v>
      </c>
      <c r="E37" s="9" t="s">
        <v>83</v>
      </c>
      <c r="F37" s="12" t="s">
        <v>221</v>
      </c>
      <c r="G37" s="11" t="s">
        <v>222</v>
      </c>
      <c r="H37" s="12" t="s">
        <v>223</v>
      </c>
      <c r="I37" s="13" t="s">
        <v>435</v>
      </c>
      <c r="J37" s="12"/>
    </row>
    <row r="38" spans="1:10" ht="54.95" customHeight="1" x14ac:dyDescent="0.25">
      <c r="A38" s="13">
        <v>34</v>
      </c>
      <c r="B38" s="14" t="s">
        <v>224</v>
      </c>
      <c r="C38" s="13" t="s">
        <v>207</v>
      </c>
      <c r="D38" s="15" t="s">
        <v>225</v>
      </c>
      <c r="E38" s="13" t="s">
        <v>78</v>
      </c>
      <c r="F38" s="16" t="s">
        <v>226</v>
      </c>
      <c r="G38" s="15" t="s">
        <v>200</v>
      </c>
      <c r="H38" s="16" t="s">
        <v>227</v>
      </c>
      <c r="I38" s="13" t="s">
        <v>435</v>
      </c>
      <c r="J38" s="16"/>
    </row>
    <row r="39" spans="1:10" ht="54.95" customHeight="1" x14ac:dyDescent="0.25">
      <c r="A39" s="9">
        <v>35</v>
      </c>
      <c r="B39" s="10" t="s">
        <v>228</v>
      </c>
      <c r="C39" s="9" t="s">
        <v>207</v>
      </c>
      <c r="D39" s="11" t="s">
        <v>225</v>
      </c>
      <c r="E39" s="9" t="s">
        <v>181</v>
      </c>
      <c r="F39" s="12" t="s">
        <v>229</v>
      </c>
      <c r="G39" s="11" t="s">
        <v>183</v>
      </c>
      <c r="H39" s="12" t="s">
        <v>230</v>
      </c>
      <c r="I39" s="13" t="s">
        <v>435</v>
      </c>
      <c r="J39" s="12"/>
    </row>
    <row r="40" spans="1:10" ht="54.95" customHeight="1" x14ac:dyDescent="0.25">
      <c r="A40" s="13">
        <v>36</v>
      </c>
      <c r="B40" s="14" t="s">
        <v>231</v>
      </c>
      <c r="C40" s="13" t="s">
        <v>207</v>
      </c>
      <c r="D40" s="15" t="s">
        <v>232</v>
      </c>
      <c r="E40" s="13" t="s">
        <v>78</v>
      </c>
      <c r="F40" s="16" t="s">
        <v>233</v>
      </c>
      <c r="G40" s="15" t="s">
        <v>234</v>
      </c>
      <c r="H40" s="16" t="s">
        <v>235</v>
      </c>
      <c r="I40" s="13" t="s">
        <v>435</v>
      </c>
      <c r="J40" s="16"/>
    </row>
    <row r="41" spans="1:10" ht="54.95" customHeight="1" x14ac:dyDescent="0.25">
      <c r="A41" s="9">
        <v>37</v>
      </c>
      <c r="B41" s="10" t="s">
        <v>236</v>
      </c>
      <c r="C41" s="9" t="s">
        <v>207</v>
      </c>
      <c r="D41" s="11" t="s">
        <v>232</v>
      </c>
      <c r="E41" s="9" t="s">
        <v>83</v>
      </c>
      <c r="F41" s="12" t="s">
        <v>237</v>
      </c>
      <c r="G41" s="11" t="s">
        <v>238</v>
      </c>
      <c r="H41" s="12" t="s">
        <v>239</v>
      </c>
      <c r="I41" s="13" t="s">
        <v>435</v>
      </c>
      <c r="J41" s="12"/>
    </row>
    <row r="42" spans="1:10" ht="54.95" customHeight="1" x14ac:dyDescent="0.25">
      <c r="A42" s="13">
        <v>38</v>
      </c>
      <c r="B42" s="14" t="s">
        <v>240</v>
      </c>
      <c r="C42" s="13" t="s">
        <v>207</v>
      </c>
      <c r="D42" s="15" t="s">
        <v>232</v>
      </c>
      <c r="E42" s="13" t="s">
        <v>83</v>
      </c>
      <c r="F42" s="16" t="s">
        <v>241</v>
      </c>
      <c r="G42" s="15" t="s">
        <v>242</v>
      </c>
      <c r="H42" s="16" t="s">
        <v>243</v>
      </c>
      <c r="I42" s="13" t="s">
        <v>435</v>
      </c>
      <c r="J42" s="16"/>
    </row>
    <row r="43" spans="1:10" ht="54.95" customHeight="1" x14ac:dyDescent="0.25">
      <c r="A43" s="9">
        <v>39</v>
      </c>
      <c r="B43" s="10" t="s">
        <v>244</v>
      </c>
      <c r="C43" s="9" t="s">
        <v>245</v>
      </c>
      <c r="D43" s="11" t="s">
        <v>246</v>
      </c>
      <c r="E43" s="9" t="s">
        <v>78</v>
      </c>
      <c r="F43" s="12" t="s">
        <v>247</v>
      </c>
      <c r="G43" s="11" t="s">
        <v>248</v>
      </c>
      <c r="H43" s="12" t="s">
        <v>249</v>
      </c>
      <c r="I43" s="13" t="s">
        <v>436</v>
      </c>
      <c r="J43" s="12"/>
    </row>
    <row r="44" spans="1:10" ht="54.95" customHeight="1" x14ac:dyDescent="0.25">
      <c r="A44" s="13">
        <v>40</v>
      </c>
      <c r="B44" s="14" t="s">
        <v>250</v>
      </c>
      <c r="C44" s="13" t="s">
        <v>245</v>
      </c>
      <c r="D44" s="15" t="s">
        <v>246</v>
      </c>
      <c r="E44" s="13" t="s">
        <v>83</v>
      </c>
      <c r="F44" s="16" t="s">
        <v>251</v>
      </c>
      <c r="G44" s="15" t="s">
        <v>252</v>
      </c>
      <c r="H44" s="16" t="s">
        <v>253</v>
      </c>
      <c r="I44" s="13" t="s">
        <v>435</v>
      </c>
      <c r="J44" s="16"/>
    </row>
    <row r="45" spans="1:10" ht="54.95" customHeight="1" x14ac:dyDescent="0.25">
      <c r="A45" s="9">
        <v>41</v>
      </c>
      <c r="B45" s="10" t="s">
        <v>254</v>
      </c>
      <c r="C45" s="9" t="s">
        <v>245</v>
      </c>
      <c r="D45" s="11" t="s">
        <v>246</v>
      </c>
      <c r="E45" s="9" t="s">
        <v>255</v>
      </c>
      <c r="F45" s="12" t="s">
        <v>256</v>
      </c>
      <c r="G45" s="11" t="s">
        <v>257</v>
      </c>
      <c r="H45" s="12" t="s">
        <v>258</v>
      </c>
      <c r="I45" s="13" t="s">
        <v>435</v>
      </c>
      <c r="J45" s="12"/>
    </row>
    <row r="46" spans="1:10" ht="54.95" customHeight="1" x14ac:dyDescent="0.25">
      <c r="A46" s="13">
        <v>42</v>
      </c>
      <c r="B46" s="14" t="s">
        <v>259</v>
      </c>
      <c r="C46" s="13" t="s">
        <v>245</v>
      </c>
      <c r="D46" s="15" t="s">
        <v>260</v>
      </c>
      <c r="E46" s="13" t="s">
        <v>78</v>
      </c>
      <c r="F46" s="16" t="s">
        <v>261</v>
      </c>
      <c r="G46" s="15" t="s">
        <v>262</v>
      </c>
      <c r="H46" s="16" t="s">
        <v>263</v>
      </c>
      <c r="I46" s="13" t="s">
        <v>435</v>
      </c>
      <c r="J46" s="16"/>
    </row>
    <row r="47" spans="1:10" ht="54.95" customHeight="1" x14ac:dyDescent="0.25">
      <c r="A47" s="9">
        <v>43</v>
      </c>
      <c r="B47" s="10" t="s">
        <v>264</v>
      </c>
      <c r="C47" s="9" t="s">
        <v>245</v>
      </c>
      <c r="D47" s="11" t="s">
        <v>260</v>
      </c>
      <c r="E47" s="9" t="s">
        <v>181</v>
      </c>
      <c r="F47" s="12" t="s">
        <v>265</v>
      </c>
      <c r="G47" s="11" t="s">
        <v>183</v>
      </c>
      <c r="H47" s="12" t="s">
        <v>266</v>
      </c>
      <c r="I47" s="13" t="s">
        <v>435</v>
      </c>
      <c r="J47" s="12"/>
    </row>
    <row r="48" spans="1:10" ht="54.95" customHeight="1" x14ac:dyDescent="0.25">
      <c r="A48" s="13">
        <v>44</v>
      </c>
      <c r="B48" s="14" t="s">
        <v>267</v>
      </c>
      <c r="C48" s="13" t="s">
        <v>245</v>
      </c>
      <c r="D48" s="15" t="s">
        <v>268</v>
      </c>
      <c r="E48" s="13" t="s">
        <v>78</v>
      </c>
      <c r="F48" s="16" t="s">
        <v>269</v>
      </c>
      <c r="G48" s="15" t="s">
        <v>200</v>
      </c>
      <c r="H48" s="16" t="s">
        <v>270</v>
      </c>
      <c r="I48" s="13" t="s">
        <v>435</v>
      </c>
      <c r="J48" s="16"/>
    </row>
    <row r="49" spans="1:10" ht="54.95" customHeight="1" x14ac:dyDescent="0.25">
      <c r="A49" s="9">
        <v>45</v>
      </c>
      <c r="B49" s="10" t="s">
        <v>271</v>
      </c>
      <c r="C49" s="9" t="s">
        <v>245</v>
      </c>
      <c r="D49" s="11" t="s">
        <v>268</v>
      </c>
      <c r="E49" s="9" t="s">
        <v>83</v>
      </c>
      <c r="F49" s="12" t="s">
        <v>272</v>
      </c>
      <c r="G49" s="11" t="s">
        <v>178</v>
      </c>
      <c r="H49" s="12" t="s">
        <v>273</v>
      </c>
      <c r="I49" s="13" t="s">
        <v>435</v>
      </c>
      <c r="J49" s="12"/>
    </row>
    <row r="50" spans="1:10" ht="54.95" customHeight="1" x14ac:dyDescent="0.25">
      <c r="A50" s="13">
        <v>46</v>
      </c>
      <c r="B50" s="14" t="s">
        <v>274</v>
      </c>
      <c r="C50" s="13" t="s">
        <v>245</v>
      </c>
      <c r="D50" s="15" t="s">
        <v>268</v>
      </c>
      <c r="E50" s="13" t="s">
        <v>181</v>
      </c>
      <c r="F50" s="16" t="s">
        <v>275</v>
      </c>
      <c r="G50" s="15" t="s">
        <v>183</v>
      </c>
      <c r="H50" s="16" t="s">
        <v>266</v>
      </c>
      <c r="I50" s="13" t="s">
        <v>435</v>
      </c>
      <c r="J50" s="16"/>
    </row>
    <row r="51" spans="1:10" ht="54.95" customHeight="1" x14ac:dyDescent="0.25">
      <c r="A51" s="9">
        <v>47</v>
      </c>
      <c r="B51" s="10" t="s">
        <v>276</v>
      </c>
      <c r="C51" s="9" t="s">
        <v>245</v>
      </c>
      <c r="D51" s="11" t="s">
        <v>277</v>
      </c>
      <c r="E51" s="9" t="s">
        <v>78</v>
      </c>
      <c r="F51" s="12" t="s">
        <v>278</v>
      </c>
      <c r="G51" s="11" t="s">
        <v>279</v>
      </c>
      <c r="H51" s="12" t="s">
        <v>280</v>
      </c>
      <c r="I51" s="13" t="s">
        <v>435</v>
      </c>
      <c r="J51" s="12"/>
    </row>
    <row r="52" spans="1:10" ht="54.95" customHeight="1" x14ac:dyDescent="0.25">
      <c r="A52" s="13">
        <v>48</v>
      </c>
      <c r="B52" s="14" t="s">
        <v>281</v>
      </c>
      <c r="C52" s="13" t="s">
        <v>245</v>
      </c>
      <c r="D52" s="15" t="s">
        <v>277</v>
      </c>
      <c r="E52" s="13" t="s">
        <v>78</v>
      </c>
      <c r="F52" s="16" t="s">
        <v>282</v>
      </c>
      <c r="G52" s="15" t="s">
        <v>283</v>
      </c>
      <c r="H52" s="16" t="s">
        <v>284</v>
      </c>
      <c r="I52" s="13" t="s">
        <v>435</v>
      </c>
      <c r="J52" s="16"/>
    </row>
    <row r="53" spans="1:10" ht="54.95" customHeight="1" x14ac:dyDescent="0.25">
      <c r="A53" s="9">
        <v>49</v>
      </c>
      <c r="B53" s="10" t="s">
        <v>285</v>
      </c>
      <c r="C53" s="9" t="s">
        <v>245</v>
      </c>
      <c r="D53" s="11" t="s">
        <v>277</v>
      </c>
      <c r="E53" s="9" t="s">
        <v>144</v>
      </c>
      <c r="F53" s="12" t="s">
        <v>286</v>
      </c>
      <c r="G53" s="11" t="s">
        <v>287</v>
      </c>
      <c r="H53" s="12" t="s">
        <v>288</v>
      </c>
      <c r="I53" s="13" t="s">
        <v>435</v>
      </c>
      <c r="J53" s="12"/>
    </row>
    <row r="54" spans="1:10" ht="54.95" customHeight="1" x14ac:dyDescent="0.25">
      <c r="A54" s="13">
        <v>50</v>
      </c>
      <c r="B54" s="14" t="s">
        <v>289</v>
      </c>
      <c r="C54" s="13" t="s">
        <v>245</v>
      </c>
      <c r="D54" s="15" t="s">
        <v>277</v>
      </c>
      <c r="E54" s="13" t="s">
        <v>255</v>
      </c>
      <c r="F54" s="16" t="s">
        <v>290</v>
      </c>
      <c r="G54" s="15" t="s">
        <v>291</v>
      </c>
      <c r="H54" s="16" t="s">
        <v>292</v>
      </c>
      <c r="I54" s="13" t="s">
        <v>435</v>
      </c>
      <c r="J54" s="16"/>
    </row>
    <row r="55" spans="1:10" ht="54.95" customHeight="1" x14ac:dyDescent="0.25">
      <c r="A55" s="9">
        <v>51</v>
      </c>
      <c r="B55" s="10" t="s">
        <v>293</v>
      </c>
      <c r="C55" s="9" t="s">
        <v>245</v>
      </c>
      <c r="D55" s="11" t="s">
        <v>294</v>
      </c>
      <c r="E55" s="9" t="s">
        <v>144</v>
      </c>
      <c r="F55" s="12" t="s">
        <v>295</v>
      </c>
      <c r="G55" s="11" t="s">
        <v>296</v>
      </c>
      <c r="H55" s="12" t="s">
        <v>297</v>
      </c>
      <c r="I55" s="13" t="s">
        <v>435</v>
      </c>
      <c r="J55" s="12"/>
    </row>
    <row r="56" spans="1:10" ht="54.95" customHeight="1" x14ac:dyDescent="0.25">
      <c r="A56" s="13">
        <v>52</v>
      </c>
      <c r="B56" s="14" t="s">
        <v>298</v>
      </c>
      <c r="C56" s="13" t="s">
        <v>245</v>
      </c>
      <c r="D56" s="15" t="s">
        <v>294</v>
      </c>
      <c r="E56" s="13" t="s">
        <v>78</v>
      </c>
      <c r="F56" s="16" t="s">
        <v>299</v>
      </c>
      <c r="G56" s="15" t="s">
        <v>204</v>
      </c>
      <c r="H56" s="16" t="s">
        <v>300</v>
      </c>
      <c r="I56" s="13" t="s">
        <v>435</v>
      </c>
      <c r="J56" s="16"/>
    </row>
  </sheetData>
  <conditionalFormatting sqref="I5:I56">
    <cfRule type="cellIs" dxfId="7" priority="1" stopIfTrue="1" operator="equal">
      <formula>"PASS"</formula>
    </cfRule>
    <cfRule type="cellIs" dxfId="6" priority="2" stopIfTrue="1" operator="equal">
      <formula>"FAIL"</formula>
    </cfRule>
    <cfRule type="cellIs" dxfId="5" priority="3" stopIfTrue="1" operator="equal">
      <formula>"PENDING"</formula>
    </cfRule>
    <cfRule type="cellIs" dxfId="4" priority="4" stopIfTrue="1" operator="equal">
      <formula>"BLOCKED"</formula>
    </cfRule>
  </conditionalFormatting>
  <dataValidations count="1">
    <dataValidation type="list" allowBlank="1" sqref="I5:I56" xr:uid="{00000000-0002-0000-0100-000000000000}">
      <formula1>"PASS,FAIL,PENDING,BLOCKED"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>
      <selection activeCell="H5" sqref="H5"/>
    </sheetView>
  </sheetViews>
  <sheetFormatPr defaultRowHeight="15" x14ac:dyDescent="0.25"/>
  <cols>
    <col min="1" max="1" width="6" customWidth="1"/>
    <col min="2" max="2" width="16" customWidth="1"/>
    <col min="3" max="3" width="20" customWidth="1"/>
    <col min="4" max="4" width="28" customWidth="1"/>
    <col min="5" max="5" width="36" customWidth="1"/>
    <col min="6" max="7" width="42" customWidth="1"/>
    <col min="8" max="8" width="15" customWidth="1"/>
    <col min="9" max="9" width="32" customWidth="1"/>
  </cols>
  <sheetData>
    <row r="1" spans="1:9" ht="25.5" x14ac:dyDescent="0.5">
      <c r="A1" s="1" t="s">
        <v>301</v>
      </c>
    </row>
    <row r="2" spans="1:9" x14ac:dyDescent="0.25">
      <c r="A2" s="2" t="s">
        <v>302</v>
      </c>
    </row>
    <row r="4" spans="1:9" ht="27.95" customHeight="1" x14ac:dyDescent="0.25">
      <c r="A4" s="8" t="s">
        <v>21</v>
      </c>
      <c r="B4" s="8" t="s">
        <v>66</v>
      </c>
      <c r="C4" s="8" t="s">
        <v>303</v>
      </c>
      <c r="D4" s="8" t="s">
        <v>68</v>
      </c>
      <c r="E4" s="8" t="s">
        <v>304</v>
      </c>
      <c r="F4" s="8" t="s">
        <v>305</v>
      </c>
      <c r="G4" s="8" t="s">
        <v>306</v>
      </c>
      <c r="H4" s="8" t="s">
        <v>73</v>
      </c>
      <c r="I4" s="8" t="s">
        <v>307</v>
      </c>
    </row>
    <row r="5" spans="1:9" ht="54.95" customHeight="1" x14ac:dyDescent="0.25">
      <c r="A5" s="9">
        <v>1</v>
      </c>
      <c r="B5" s="10" t="s">
        <v>308</v>
      </c>
      <c r="C5" s="9" t="s">
        <v>309</v>
      </c>
      <c r="D5" s="11" t="s">
        <v>172</v>
      </c>
      <c r="E5" s="12" t="s">
        <v>310</v>
      </c>
      <c r="F5" s="11" t="s">
        <v>311</v>
      </c>
      <c r="G5" s="12" t="s">
        <v>184</v>
      </c>
      <c r="H5" s="9" t="s">
        <v>435</v>
      </c>
      <c r="I5" s="12" t="s">
        <v>312</v>
      </c>
    </row>
    <row r="6" spans="1:9" ht="54.95" customHeight="1" x14ac:dyDescent="0.25">
      <c r="A6" s="13">
        <v>2</v>
      </c>
      <c r="B6" s="14" t="s">
        <v>313</v>
      </c>
      <c r="C6" s="13" t="s">
        <v>309</v>
      </c>
      <c r="D6" s="15" t="s">
        <v>186</v>
      </c>
      <c r="E6" s="16" t="s">
        <v>314</v>
      </c>
      <c r="F6" s="15" t="s">
        <v>315</v>
      </c>
      <c r="G6" s="16" t="s">
        <v>193</v>
      </c>
      <c r="H6" s="9" t="s">
        <v>435</v>
      </c>
      <c r="I6" s="16" t="s">
        <v>316</v>
      </c>
    </row>
    <row r="7" spans="1:9" ht="54.95" customHeight="1" x14ac:dyDescent="0.25">
      <c r="A7" s="9">
        <v>3</v>
      </c>
      <c r="B7" s="10" t="s">
        <v>317</v>
      </c>
      <c r="C7" s="9" t="s">
        <v>309</v>
      </c>
      <c r="D7" s="11" t="s">
        <v>198</v>
      </c>
      <c r="E7" s="12" t="s">
        <v>318</v>
      </c>
      <c r="F7" s="11" t="s">
        <v>319</v>
      </c>
      <c r="G7" s="12" t="s">
        <v>201</v>
      </c>
      <c r="H7" s="9" t="s">
        <v>435</v>
      </c>
      <c r="I7" s="12" t="s">
        <v>320</v>
      </c>
    </row>
    <row r="8" spans="1:9" ht="54.95" customHeight="1" x14ac:dyDescent="0.25">
      <c r="A8" s="13">
        <v>4</v>
      </c>
      <c r="B8" s="14" t="s">
        <v>321</v>
      </c>
      <c r="C8" s="13" t="s">
        <v>309</v>
      </c>
      <c r="D8" s="15" t="s">
        <v>268</v>
      </c>
      <c r="E8" s="16" t="s">
        <v>322</v>
      </c>
      <c r="F8" s="15" t="s">
        <v>323</v>
      </c>
      <c r="G8" s="16" t="s">
        <v>266</v>
      </c>
      <c r="H8" s="9" t="s">
        <v>435</v>
      </c>
      <c r="I8" s="16" t="s">
        <v>324</v>
      </c>
    </row>
    <row r="9" spans="1:9" ht="54.95" customHeight="1" x14ac:dyDescent="0.25">
      <c r="A9" s="9">
        <v>5</v>
      </c>
      <c r="B9" s="10" t="s">
        <v>325</v>
      </c>
      <c r="C9" s="9" t="s">
        <v>326</v>
      </c>
      <c r="D9" s="11" t="s">
        <v>135</v>
      </c>
      <c r="E9" s="12" t="s">
        <v>327</v>
      </c>
      <c r="F9" s="11" t="s">
        <v>328</v>
      </c>
      <c r="G9" s="12" t="s">
        <v>147</v>
      </c>
      <c r="H9" s="9" t="s">
        <v>435</v>
      </c>
      <c r="I9" s="12" t="s">
        <v>329</v>
      </c>
    </row>
    <row r="10" spans="1:9" ht="54.95" customHeight="1" x14ac:dyDescent="0.25">
      <c r="A10" s="13">
        <v>6</v>
      </c>
      <c r="B10" s="14" t="s">
        <v>330</v>
      </c>
      <c r="C10" s="13" t="s">
        <v>331</v>
      </c>
      <c r="D10" s="15" t="s">
        <v>77</v>
      </c>
      <c r="E10" s="16" t="s">
        <v>332</v>
      </c>
      <c r="F10" s="15" t="s">
        <v>333</v>
      </c>
      <c r="G10" s="16" t="s">
        <v>334</v>
      </c>
      <c r="H10" s="9" t="s">
        <v>435</v>
      </c>
      <c r="I10" s="16" t="s">
        <v>335</v>
      </c>
    </row>
    <row r="11" spans="1:9" ht="54.95" customHeight="1" x14ac:dyDescent="0.25">
      <c r="A11" s="9">
        <v>7</v>
      </c>
      <c r="B11" s="10" t="s">
        <v>336</v>
      </c>
      <c r="C11" s="9" t="s">
        <v>337</v>
      </c>
      <c r="D11" s="11" t="s">
        <v>277</v>
      </c>
      <c r="E11" s="12" t="s">
        <v>338</v>
      </c>
      <c r="F11" s="11" t="s">
        <v>339</v>
      </c>
      <c r="G11" s="12" t="s">
        <v>288</v>
      </c>
      <c r="H11" s="9" t="s">
        <v>435</v>
      </c>
      <c r="I11" s="12" t="s">
        <v>340</v>
      </c>
    </row>
    <row r="12" spans="1:9" ht="54.95" customHeight="1" x14ac:dyDescent="0.25">
      <c r="A12" s="13">
        <v>8</v>
      </c>
      <c r="B12" s="14" t="s">
        <v>341</v>
      </c>
      <c r="C12" s="13" t="s">
        <v>342</v>
      </c>
      <c r="D12" s="15" t="s">
        <v>122</v>
      </c>
      <c r="E12" s="16" t="s">
        <v>343</v>
      </c>
      <c r="F12" s="15" t="s">
        <v>344</v>
      </c>
      <c r="G12" s="16" t="s">
        <v>133</v>
      </c>
      <c r="H12" s="9" t="s">
        <v>435</v>
      </c>
      <c r="I12" s="16" t="s">
        <v>345</v>
      </c>
    </row>
    <row r="13" spans="1:9" ht="54.95" customHeight="1" x14ac:dyDescent="0.25">
      <c r="A13" s="9">
        <v>9</v>
      </c>
      <c r="B13" s="10" t="s">
        <v>346</v>
      </c>
      <c r="C13" s="9" t="s">
        <v>342</v>
      </c>
      <c r="D13" s="11" t="s">
        <v>122</v>
      </c>
      <c r="E13" s="12" t="s">
        <v>347</v>
      </c>
      <c r="F13" s="11" t="s">
        <v>348</v>
      </c>
      <c r="G13" s="12" t="s">
        <v>133</v>
      </c>
      <c r="H13" s="9" t="s">
        <v>435</v>
      </c>
      <c r="I13" s="12" t="s">
        <v>349</v>
      </c>
    </row>
    <row r="14" spans="1:9" ht="54.95" customHeight="1" x14ac:dyDescent="0.25">
      <c r="A14" s="13">
        <v>10</v>
      </c>
      <c r="B14" s="14" t="s">
        <v>350</v>
      </c>
      <c r="C14" s="13" t="s">
        <v>351</v>
      </c>
      <c r="D14" s="15" t="s">
        <v>101</v>
      </c>
      <c r="E14" s="16" t="s">
        <v>352</v>
      </c>
      <c r="F14" s="15" t="s">
        <v>353</v>
      </c>
      <c r="G14" s="16" t="s">
        <v>354</v>
      </c>
      <c r="H14" s="9" t="s">
        <v>436</v>
      </c>
      <c r="I14" s="16" t="s">
        <v>355</v>
      </c>
    </row>
    <row r="15" spans="1:9" ht="54.95" customHeight="1" x14ac:dyDescent="0.25">
      <c r="A15" s="9">
        <v>11</v>
      </c>
      <c r="B15" s="10" t="s">
        <v>356</v>
      </c>
      <c r="C15" s="9" t="s">
        <v>357</v>
      </c>
      <c r="D15" s="11" t="s">
        <v>163</v>
      </c>
      <c r="E15" s="12" t="s">
        <v>358</v>
      </c>
      <c r="F15" s="11" t="s">
        <v>359</v>
      </c>
      <c r="G15" s="12" t="s">
        <v>360</v>
      </c>
      <c r="H15" s="9" t="s">
        <v>435</v>
      </c>
      <c r="I15" s="12" t="s">
        <v>361</v>
      </c>
    </row>
    <row r="16" spans="1:9" ht="54.95" customHeight="1" x14ac:dyDescent="0.25">
      <c r="A16" s="13">
        <v>12</v>
      </c>
      <c r="B16" s="14" t="s">
        <v>362</v>
      </c>
      <c r="C16" s="13" t="s">
        <v>363</v>
      </c>
      <c r="D16" s="15" t="s">
        <v>364</v>
      </c>
      <c r="E16" s="16" t="s">
        <v>365</v>
      </c>
      <c r="F16" s="15" t="s">
        <v>366</v>
      </c>
      <c r="G16" s="16" t="s">
        <v>115</v>
      </c>
      <c r="H16" s="9" t="s">
        <v>435</v>
      </c>
      <c r="I16" s="16" t="s">
        <v>367</v>
      </c>
    </row>
  </sheetData>
  <conditionalFormatting sqref="H5:H16">
    <cfRule type="cellIs" dxfId="3" priority="1" stopIfTrue="1" operator="equal">
      <formula>"PASS"</formula>
    </cfRule>
    <cfRule type="cellIs" dxfId="2" priority="2" stopIfTrue="1" operator="equal">
      <formula>"FAIL"</formula>
    </cfRule>
    <cfRule type="cellIs" dxfId="1" priority="3" stopIfTrue="1" operator="equal">
      <formula>"PENDING"</formula>
    </cfRule>
    <cfRule type="cellIs" dxfId="0" priority="4" stopIfTrue="1" operator="equal">
      <formula>"BLOCKED"</formula>
    </cfRule>
  </conditionalFormatting>
  <dataValidations count="1">
    <dataValidation type="list" allowBlank="1" sqref="H5:H16" xr:uid="{00000000-0002-0000-0200-000000000000}">
      <formula1>"PASS,FAIL,PENDING,BLOCKED"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workbookViewId="0"/>
  </sheetViews>
  <sheetFormatPr defaultRowHeight="15" x14ac:dyDescent="0.25"/>
  <cols>
    <col min="1" max="1" width="6" customWidth="1"/>
    <col min="2" max="2" width="24" customWidth="1"/>
    <col min="3" max="3" width="30" customWidth="1"/>
    <col min="4" max="4" width="32" customWidth="1"/>
    <col min="5" max="5" width="46" customWidth="1"/>
    <col min="6" max="6" width="38" customWidth="1"/>
  </cols>
  <sheetData>
    <row r="1" spans="1:6" ht="25.5" x14ac:dyDescent="0.5">
      <c r="A1" s="1" t="s">
        <v>368</v>
      </c>
    </row>
    <row r="2" spans="1:6" x14ac:dyDescent="0.25">
      <c r="A2" s="2" t="s">
        <v>369</v>
      </c>
    </row>
    <row r="4" spans="1:6" ht="27.95" customHeight="1" x14ac:dyDescent="0.25">
      <c r="A4" s="8" t="s">
        <v>21</v>
      </c>
      <c r="B4" s="8" t="s">
        <v>370</v>
      </c>
      <c r="C4" s="8" t="s">
        <v>371</v>
      </c>
      <c r="D4" s="8" t="s">
        <v>372</v>
      </c>
      <c r="E4" s="8" t="s">
        <v>373</v>
      </c>
      <c r="F4" s="8" t="s">
        <v>374</v>
      </c>
    </row>
    <row r="5" spans="1:6" ht="65.099999999999994" customHeight="1" x14ac:dyDescent="0.25">
      <c r="A5" s="9">
        <v>1</v>
      </c>
      <c r="B5" s="12" t="s">
        <v>375</v>
      </c>
      <c r="C5" s="11" t="s">
        <v>77</v>
      </c>
      <c r="D5" s="11" t="s">
        <v>376</v>
      </c>
      <c r="E5" s="11" t="s">
        <v>377</v>
      </c>
      <c r="F5" s="12" t="s">
        <v>378</v>
      </c>
    </row>
    <row r="6" spans="1:6" ht="65.099999999999994" customHeight="1" x14ac:dyDescent="0.25">
      <c r="A6" s="13">
        <v>2</v>
      </c>
      <c r="B6" s="16" t="s">
        <v>379</v>
      </c>
      <c r="C6" s="15" t="s">
        <v>77</v>
      </c>
      <c r="D6" s="15" t="s">
        <v>376</v>
      </c>
      <c r="E6" s="15" t="s">
        <v>380</v>
      </c>
      <c r="F6" s="16" t="s">
        <v>381</v>
      </c>
    </row>
    <row r="7" spans="1:6" ht="65.099999999999994" customHeight="1" x14ac:dyDescent="0.25">
      <c r="A7" s="9">
        <v>3</v>
      </c>
      <c r="B7" s="12" t="s">
        <v>382</v>
      </c>
      <c r="C7" s="11" t="s">
        <v>101</v>
      </c>
      <c r="D7" s="11" t="s">
        <v>376</v>
      </c>
      <c r="E7" s="11" t="s">
        <v>383</v>
      </c>
      <c r="F7" s="12" t="s">
        <v>384</v>
      </c>
    </row>
    <row r="8" spans="1:6" ht="65.099999999999994" customHeight="1" x14ac:dyDescent="0.25">
      <c r="A8" s="13">
        <v>4</v>
      </c>
      <c r="B8" s="16" t="s">
        <v>385</v>
      </c>
      <c r="C8" s="15" t="s">
        <v>122</v>
      </c>
      <c r="D8" s="15" t="s">
        <v>386</v>
      </c>
      <c r="E8" s="15" t="s">
        <v>387</v>
      </c>
      <c r="F8" s="16" t="s">
        <v>388</v>
      </c>
    </row>
    <row r="9" spans="1:6" ht="65.099999999999994" customHeight="1" x14ac:dyDescent="0.25">
      <c r="A9" s="9">
        <v>5</v>
      </c>
      <c r="B9" s="12" t="s">
        <v>389</v>
      </c>
      <c r="C9" s="11" t="s">
        <v>135</v>
      </c>
      <c r="D9" s="11" t="s">
        <v>390</v>
      </c>
      <c r="E9" s="11" t="s">
        <v>391</v>
      </c>
      <c r="F9" s="12" t="s">
        <v>392</v>
      </c>
    </row>
    <row r="10" spans="1:6" ht="65.099999999999994" customHeight="1" x14ac:dyDescent="0.25">
      <c r="A10" s="13">
        <v>6</v>
      </c>
      <c r="B10" s="16" t="s">
        <v>393</v>
      </c>
      <c r="C10" s="15" t="s">
        <v>150</v>
      </c>
      <c r="D10" s="15" t="s">
        <v>394</v>
      </c>
      <c r="E10" s="15" t="s">
        <v>395</v>
      </c>
      <c r="F10" s="16" t="s">
        <v>396</v>
      </c>
    </row>
    <row r="11" spans="1:6" ht="65.099999999999994" customHeight="1" x14ac:dyDescent="0.25">
      <c r="A11" s="9">
        <v>7</v>
      </c>
      <c r="B11" s="12" t="s">
        <v>397</v>
      </c>
      <c r="C11" s="11" t="s">
        <v>163</v>
      </c>
      <c r="D11" s="11" t="s">
        <v>386</v>
      </c>
      <c r="E11" s="11" t="s">
        <v>398</v>
      </c>
      <c r="F11" s="12" t="s">
        <v>399</v>
      </c>
    </row>
    <row r="12" spans="1:6" ht="65.099999999999994" customHeight="1" x14ac:dyDescent="0.25">
      <c r="A12" s="13">
        <v>8</v>
      </c>
      <c r="B12" s="16" t="s">
        <v>400</v>
      </c>
      <c r="C12" s="15" t="s">
        <v>172</v>
      </c>
      <c r="D12" s="15" t="s">
        <v>386</v>
      </c>
      <c r="E12" s="15" t="s">
        <v>401</v>
      </c>
      <c r="F12" s="16" t="s">
        <v>402</v>
      </c>
    </row>
    <row r="13" spans="1:6" ht="65.099999999999994" customHeight="1" x14ac:dyDescent="0.25">
      <c r="A13" s="9">
        <v>9</v>
      </c>
      <c r="B13" s="12" t="s">
        <v>403</v>
      </c>
      <c r="C13" s="11" t="s">
        <v>186</v>
      </c>
      <c r="D13" s="11" t="s">
        <v>394</v>
      </c>
      <c r="E13" s="11" t="s">
        <v>404</v>
      </c>
      <c r="F13" s="12" t="s">
        <v>405</v>
      </c>
    </row>
    <row r="14" spans="1:6" ht="65.099999999999994" customHeight="1" x14ac:dyDescent="0.25">
      <c r="A14" s="13">
        <v>10</v>
      </c>
      <c r="B14" s="16" t="s">
        <v>406</v>
      </c>
      <c r="C14" s="15" t="s">
        <v>208</v>
      </c>
      <c r="D14" s="15" t="s">
        <v>394</v>
      </c>
      <c r="E14" s="15" t="s">
        <v>407</v>
      </c>
      <c r="F14" s="16" t="s">
        <v>408</v>
      </c>
    </row>
    <row r="15" spans="1:6" ht="65.099999999999994" customHeight="1" x14ac:dyDescent="0.25">
      <c r="A15" s="9">
        <v>11</v>
      </c>
      <c r="B15" s="12" t="s">
        <v>409</v>
      </c>
      <c r="C15" s="11" t="s">
        <v>225</v>
      </c>
      <c r="D15" s="11" t="s">
        <v>386</v>
      </c>
      <c r="E15" s="11" t="s">
        <v>401</v>
      </c>
      <c r="F15" s="12" t="s">
        <v>410</v>
      </c>
    </row>
    <row r="16" spans="1:6" ht="65.099999999999994" customHeight="1" x14ac:dyDescent="0.25">
      <c r="A16" s="13">
        <v>12</v>
      </c>
      <c r="B16" s="16" t="s">
        <v>411</v>
      </c>
      <c r="C16" s="15" t="s">
        <v>232</v>
      </c>
      <c r="D16" s="15" t="s">
        <v>386</v>
      </c>
      <c r="E16" s="15" t="s">
        <v>412</v>
      </c>
      <c r="F16" s="16" t="s">
        <v>413</v>
      </c>
    </row>
    <row r="17" spans="1:6" ht="65.099999999999994" customHeight="1" x14ac:dyDescent="0.25">
      <c r="A17" s="9">
        <v>13</v>
      </c>
      <c r="B17" s="12" t="s">
        <v>414</v>
      </c>
      <c r="C17" s="11" t="s">
        <v>246</v>
      </c>
      <c r="D17" s="11" t="s">
        <v>394</v>
      </c>
      <c r="E17" s="11" t="s">
        <v>415</v>
      </c>
      <c r="F17" s="12" t="s">
        <v>416</v>
      </c>
    </row>
    <row r="18" spans="1:6" ht="65.099999999999994" customHeight="1" x14ac:dyDescent="0.25">
      <c r="A18" s="13">
        <v>14</v>
      </c>
      <c r="B18" s="16" t="s">
        <v>417</v>
      </c>
      <c r="C18" s="15" t="s">
        <v>260</v>
      </c>
      <c r="D18" s="15" t="s">
        <v>386</v>
      </c>
      <c r="E18" s="15" t="s">
        <v>418</v>
      </c>
      <c r="F18" s="16" t="s">
        <v>419</v>
      </c>
    </row>
    <row r="19" spans="1:6" ht="65.099999999999994" customHeight="1" x14ac:dyDescent="0.25">
      <c r="A19" s="9">
        <v>15</v>
      </c>
      <c r="B19" s="12" t="s">
        <v>420</v>
      </c>
      <c r="C19" s="11" t="s">
        <v>268</v>
      </c>
      <c r="D19" s="11" t="s">
        <v>386</v>
      </c>
      <c r="E19" s="11" t="s">
        <v>401</v>
      </c>
      <c r="F19" s="12" t="s">
        <v>421</v>
      </c>
    </row>
    <row r="20" spans="1:6" ht="65.099999999999994" customHeight="1" x14ac:dyDescent="0.25">
      <c r="A20" s="13">
        <v>16</v>
      </c>
      <c r="B20" s="16" t="s">
        <v>422</v>
      </c>
      <c r="C20" s="15" t="s">
        <v>277</v>
      </c>
      <c r="D20" s="15" t="s">
        <v>423</v>
      </c>
      <c r="E20" s="15" t="s">
        <v>424</v>
      </c>
      <c r="F20" s="16" t="s">
        <v>425</v>
      </c>
    </row>
    <row r="21" spans="1:6" ht="65.099999999999994" customHeight="1" x14ac:dyDescent="0.25">
      <c r="A21" s="9">
        <v>17</v>
      </c>
      <c r="B21" s="12" t="s">
        <v>426</v>
      </c>
      <c r="C21" s="11" t="s">
        <v>277</v>
      </c>
      <c r="D21" s="11" t="s">
        <v>427</v>
      </c>
      <c r="E21" s="11" t="s">
        <v>428</v>
      </c>
      <c r="F21" s="12" t="s">
        <v>429</v>
      </c>
    </row>
    <row r="22" spans="1:6" ht="65.099999999999994" customHeight="1" x14ac:dyDescent="0.25">
      <c r="A22" s="13">
        <v>18</v>
      </c>
      <c r="B22" s="16" t="s">
        <v>430</v>
      </c>
      <c r="C22" s="15" t="s">
        <v>294</v>
      </c>
      <c r="D22" s="15" t="s">
        <v>431</v>
      </c>
      <c r="E22" s="15" t="s">
        <v>401</v>
      </c>
      <c r="F22" s="16" t="s">
        <v>432</v>
      </c>
    </row>
    <row r="23" spans="1:6" ht="65.099999999999994" customHeight="1" x14ac:dyDescent="0.25">
      <c r="A23" s="9">
        <v>19</v>
      </c>
      <c r="B23" s="12" t="s">
        <v>433</v>
      </c>
      <c r="C23" s="11" t="s">
        <v>198</v>
      </c>
      <c r="D23" s="11" t="s">
        <v>431</v>
      </c>
      <c r="E23" s="11" t="s">
        <v>401</v>
      </c>
      <c r="F23" s="12" t="s">
        <v>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 &amp; Summary</vt:lpstr>
      <vt:lpstr>API Test Checklist</vt:lpstr>
      <vt:lpstr>Cybersecurity Test Matrix</vt:lpstr>
      <vt:lpstr>Postman &amp; Payload 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Bezos Jeffbi</cp:lastModifiedBy>
  <dcterms:created xsi:type="dcterms:W3CDTF">2026-08-26T00:08:16Z</dcterms:created>
  <dcterms:modified xsi:type="dcterms:W3CDTF">2026-08-26T05:14:36Z</dcterms:modified>
</cp:coreProperties>
</file>